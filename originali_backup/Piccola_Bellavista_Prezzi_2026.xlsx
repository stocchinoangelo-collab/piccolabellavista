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Calendario 2026" sheetId="2" state="visible" r:id="rId2"/>
    <sheet xmlns:r="http://schemas.openxmlformats.org/officeDocument/2006/relationships" name="Riassunto Mensile" sheetId="3" state="visible" r:id="rId3"/>
    <sheet xmlns:r="http://schemas.openxmlformats.org/officeDocument/2006/relationships" name="Track Prenotazion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€#,##0.00"/>
    <numFmt numFmtId="166" formatCode="yyyy-mm-dd h:mm:ss"/>
    <numFmt numFmtId="167" formatCode="DD/MM/YYYY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264653"/>
      <sz val="11"/>
    </font>
    <font>
      <name val="Arial"/>
      <b val="1"/>
      <color rgb="00FFFFFF"/>
      <sz val="14"/>
    </font>
    <font>
      <name val="Arial"/>
      <b val="1"/>
      <color rgb="00FFFFFF"/>
    </font>
    <font>
      <name val="Arial"/>
      <sz val="11"/>
    </font>
    <font>
      <name val="Arial"/>
      <b val="1"/>
      <color rgb="000000FF"/>
      <sz val="11"/>
    </font>
    <font>
      <name val="Arial"/>
      <i val="1"/>
      <color rgb="00264653"/>
      <sz val="10"/>
    </font>
    <font>
      <name val="Arial"/>
      <b val="1"/>
      <sz val="11"/>
    </font>
    <font>
      <name val="Arial"/>
      <b val="1"/>
      <color rgb="000000FF"/>
      <sz val="12"/>
    </font>
    <font>
      <name val="Arial"/>
      <color rgb="000000FF"/>
      <sz val="11"/>
    </font>
    <font>
      <name val="Arial"/>
      <b val="1"/>
      <color rgb="00FFFFFF"/>
      <sz val="12"/>
    </font>
    <font>
      <name val="Arial"/>
      <b val="1"/>
      <sz val="12"/>
    </font>
  </fonts>
  <fills count="8">
    <fill>
      <patternFill/>
    </fill>
    <fill>
      <patternFill patternType="gray125"/>
    </fill>
    <fill>
      <patternFill patternType="solid">
        <fgColor rgb="001e6091"/>
      </patternFill>
    </fill>
    <fill>
      <patternFill patternType="solid">
        <fgColor rgb="00e76f51"/>
      </patternFill>
    </fill>
    <fill>
      <patternFill patternType="solid">
        <fgColor rgb="00f4a261"/>
      </patternFill>
    </fill>
    <fill>
      <patternFill patternType="solid">
        <fgColor rgb="00ffe5d9"/>
      </patternFill>
    </fill>
    <fill>
      <patternFill patternType="solid">
        <fgColor rgb="00fefae0"/>
      </patternFill>
    </fill>
    <fill>
      <patternFill patternType="solid">
        <fgColor rgb="0058815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4" fontId="6" fillId="0" borderId="0" pivotButton="0" quotePrefix="0" xfId="0"/>
    <xf numFmtId="0" fontId="7" fillId="0" borderId="0" pivotButton="0" quotePrefix="0" xfId="0"/>
    <xf numFmtId="164" fontId="6" fillId="0" borderId="0" pivotButton="0" quotePrefix="0" xfId="0"/>
    <xf numFmtId="2" fontId="6" fillId="0" borderId="0" pivotButton="0" quotePrefix="0" xfId="0"/>
    <xf numFmtId="165" fontId="8" fillId="0" borderId="0" pivotButton="0" quotePrefix="0" xfId="0"/>
    <xf numFmtId="0" fontId="8" fillId="0" borderId="0" pivotButton="0" quotePrefix="0" xfId="0"/>
    <xf numFmtId="165" fontId="9" fillId="0" borderId="0" pivotButton="0" quotePrefix="0" xfId="0"/>
    <xf numFmtId="0" fontId="4" fillId="2" borderId="0" applyAlignment="1" pivotButton="0" quotePrefix="0" xfId="0">
      <alignment horizontal="center" vertical="center"/>
    </xf>
    <xf numFmtId="167" fontId="0" fillId="4" borderId="1" pivotButton="0" quotePrefix="0" xfId="0"/>
    <xf numFmtId="0" fontId="0" fillId="4" borderId="1" pivotButton="0" quotePrefix="0" xfId="0"/>
    <xf numFmtId="2" fontId="0" fillId="4" borderId="1" pivotButton="0" quotePrefix="0" xfId="0"/>
    <xf numFmtId="165" fontId="8" fillId="4" borderId="1" pivotButton="0" quotePrefix="0" xfId="0"/>
    <xf numFmtId="167" fontId="0" fillId="0" borderId="1" pivotButton="0" quotePrefix="0" xfId="0"/>
    <xf numFmtId="0" fontId="0" fillId="5" borderId="1" pivotButton="0" quotePrefix="0" xfId="0"/>
    <xf numFmtId="0" fontId="0" fillId="0" borderId="1" pivotButton="0" quotePrefix="0" xfId="0"/>
    <xf numFmtId="2" fontId="0" fillId="0" borderId="1" pivotButton="0" quotePrefix="0" xfId="0"/>
    <xf numFmtId="165" fontId="8" fillId="0" borderId="1" pivotButton="0" quotePrefix="0" xfId="0"/>
    <xf numFmtId="0" fontId="8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165" fontId="8" fillId="0" borderId="1" applyAlignment="1" pivotButton="0" quotePrefix="0" xfId="0">
      <alignment horizontal="center"/>
    </xf>
    <xf numFmtId="9" fontId="1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11" fillId="3" borderId="0" pivotButton="0" quotePrefix="0" xfId="0"/>
    <xf numFmtId="165" fontId="11" fillId="3" borderId="0" pivotButton="0" quotePrefix="0" xfId="0"/>
    <xf numFmtId="9" fontId="11" fillId="3" borderId="0" pivotButton="0" quotePrefix="0" xfId="0"/>
    <xf numFmtId="3" fontId="11" fillId="3" borderId="0" pivotButton="0" quotePrefix="0" xfId="0"/>
    <xf numFmtId="0" fontId="3" fillId="2" borderId="0" applyAlignment="1" pivotButton="0" quotePrefix="0" xfId="0">
      <alignment horizontal="center"/>
    </xf>
    <xf numFmtId="0" fontId="12" fillId="6" borderId="0" pivotButton="0" quotePrefix="0" xfId="0"/>
    <xf numFmtId="165" fontId="12" fillId="6" borderId="0" pivotButton="0" quotePrefix="0" xfId="0"/>
    <xf numFmtId="0" fontId="3" fillId="7" borderId="0" pivotButton="0" quotePrefix="0" xfId="0"/>
    <xf numFmtId="165" fontId="3" fillId="7" borderId="0" pivotButton="0" quotePrefix="0" xfId="0"/>
    <xf numFmtId="167" fontId="5" fillId="0" borderId="1" pivotButton="0" quotePrefix="0" xfId="0"/>
    <xf numFmtId="0" fontId="5" fillId="0" borderId="1" pivotButton="0" quotePrefix="0" xfId="0"/>
    <xf numFmtId="165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20" customWidth="1" min="4" max="4"/>
    <col width="20" customWidth="1" min="5" max="5"/>
  </cols>
  <sheetData>
    <row r="1" ht="35" customHeight="1">
      <c r="A1" s="1" t="inlineStr">
        <is>
          <t>PICCOLA BELLAVISTA - SETUP PRICING 2026</t>
        </is>
      </c>
    </row>
    <row r="2" ht="25" customHeight="1">
      <c r="A2" s="2" t="inlineStr">
        <is>
          <t>Studio 33mq · Via Bellavista 14, Pirri · Vista panoramica</t>
        </is>
      </c>
    </row>
    <row r="4">
      <c r="A4" t="inlineStr"/>
    </row>
    <row r="5" ht="25" customHeight="1">
      <c r="A5" s="3" t="inlineStr">
        <is>
          <t>PARAMETRI BASE</t>
        </is>
      </c>
    </row>
    <row r="6">
      <c r="A6" s="4" t="inlineStr">
        <is>
          <t>Parametro</t>
        </is>
      </c>
      <c r="B6" s="4" t="inlineStr">
        <is>
          <t>Valore</t>
        </is>
      </c>
      <c r="C6" s="4" t="inlineStr">
        <is>
          <t>Note</t>
        </is>
      </c>
    </row>
    <row r="7">
      <c r="A7" s="5" t="inlineStr">
        <is>
          <t>Prezzo base notte (€)</t>
        </is>
      </c>
      <c r="B7" s="6" t="n">
        <v>60</v>
      </c>
      <c r="C7" s="7" t="inlineStr">
        <is>
          <t>Prezzo standard senza modificatori</t>
        </is>
      </c>
    </row>
    <row r="8">
      <c r="A8" s="5" t="inlineStr">
        <is>
          <t>Costo per notte stimato (€)</t>
        </is>
      </c>
      <c r="B8" s="6" t="n">
        <v>12</v>
      </c>
      <c r="C8" s="7" t="inlineStr">
        <is>
          <t>Pulizia + utenze + commissioni</t>
        </is>
      </c>
    </row>
    <row r="9">
      <c r="A9" s="5" t="inlineStr">
        <is>
          <t>Tassa cedolare secca (%)</t>
        </is>
      </c>
      <c r="B9" s="8" t="n">
        <v>0.21</v>
      </c>
      <c r="C9" s="7" t="inlineStr">
        <is>
          <t>21% per 1 sola unità</t>
        </is>
      </c>
    </row>
    <row r="10">
      <c r="A10" s="5" t="inlineStr">
        <is>
          <t>Tassa di soggiorno per persona/notte (€)</t>
        </is>
      </c>
      <c r="B10" s="6" t="n">
        <v>1.5</v>
      </c>
      <c r="C10" s="7" t="inlineStr">
        <is>
          <t>Da riscuotere e versare al Comune</t>
        </is>
      </c>
    </row>
    <row r="11">
      <c r="A11" s="5" t="inlineStr">
        <is>
          <t>Commissione media Airbnb (%)</t>
        </is>
      </c>
      <c r="B11" s="8" t="n">
        <v>0.03</v>
      </c>
      <c r="C11" s="7" t="inlineStr">
        <is>
          <t>3% per host</t>
        </is>
      </c>
    </row>
    <row r="12">
      <c r="A12" s="5" t="inlineStr">
        <is>
          <t>Commissione Booking (%)</t>
        </is>
      </c>
      <c r="B12" s="8" t="n">
        <v>0.17</v>
      </c>
      <c r="C12" s="7" t="inlineStr">
        <is>
          <t>15-18% media</t>
        </is>
      </c>
    </row>
    <row r="13">
      <c r="A13" s="5" t="inlineStr">
        <is>
          <t>Commissione Vrbo (%)</t>
        </is>
      </c>
      <c r="B13" s="8" t="n">
        <v>0.08</v>
      </c>
      <c r="C13" s="7" t="inlineStr">
        <is>
          <t>8% media</t>
        </is>
      </c>
    </row>
    <row r="15" ht="25" customHeight="1">
      <c r="A15" s="3" t="inlineStr">
        <is>
          <t>MOLTIPLICATORI STAGIONALI</t>
        </is>
      </c>
    </row>
    <row r="16">
      <c r="A16" s="4" t="inlineStr">
        <is>
          <t>Periodo</t>
        </is>
      </c>
      <c r="B16" s="4" t="inlineStr">
        <is>
          <t>Mesi</t>
        </is>
      </c>
      <c r="C16" s="4" t="inlineStr">
        <is>
          <t>Moltiplicatore</t>
        </is>
      </c>
      <c r="D16" s="4" t="inlineStr">
        <is>
          <t>Prezzo finale (€)</t>
        </is>
      </c>
      <c r="E16" s="4" t="inlineStr">
        <is>
          <t>Note</t>
        </is>
      </c>
    </row>
    <row r="17">
      <c r="A17" s="5" t="inlineStr">
        <is>
          <t>Bassa stagione</t>
        </is>
      </c>
      <c r="B17" s="5" t="inlineStr">
        <is>
          <t>Nov-Feb</t>
        </is>
      </c>
      <c r="C17" s="9" t="n">
        <v>0.7</v>
      </c>
      <c r="D17" s="10">
        <f>$B$7*C17</f>
        <v/>
      </c>
      <c r="E17" s="7" t="inlineStr">
        <is>
          <t>Fuori stagione</t>
        </is>
      </c>
    </row>
    <row r="18">
      <c r="A18" s="5" t="inlineStr">
        <is>
          <t>Media stagione</t>
        </is>
      </c>
      <c r="B18" s="5" t="inlineStr">
        <is>
          <t>Mar-Mag, Ott</t>
        </is>
      </c>
      <c r="C18" s="9" t="n">
        <v>1</v>
      </c>
      <c r="D18" s="10">
        <f>$B$7*C18</f>
        <v/>
      </c>
      <c r="E18" s="7" t="inlineStr">
        <is>
          <t>Stagione standard</t>
        </is>
      </c>
    </row>
    <row r="19">
      <c r="A19" s="5" t="inlineStr">
        <is>
          <t>Alta stagione</t>
        </is>
      </c>
      <c r="B19" s="5" t="inlineStr">
        <is>
          <t>Giu-Set</t>
        </is>
      </c>
      <c r="C19" s="9" t="n">
        <v>1.4</v>
      </c>
      <c r="D19" s="10">
        <f>$B$7*C19</f>
        <v/>
      </c>
      <c r="E19" s="7" t="inlineStr">
        <is>
          <t>Stagione turistica</t>
        </is>
      </c>
    </row>
    <row r="20">
      <c r="A20" s="5" t="inlineStr">
        <is>
          <t>Picco (Ferragosto)</t>
        </is>
      </c>
      <c r="B20" s="5" t="inlineStr">
        <is>
          <t>10-20 Ago</t>
        </is>
      </c>
      <c r="C20" s="9" t="n">
        <v>1.8</v>
      </c>
      <c r="D20" s="10">
        <f>$B$7*C20</f>
        <v/>
      </c>
      <c r="E20" s="7" t="inlineStr">
        <is>
          <t>Massima domanda</t>
        </is>
      </c>
    </row>
    <row r="21">
      <c r="A21" s="5" t="inlineStr">
        <is>
          <t>Eventi speciali</t>
        </is>
      </c>
      <c r="B21" s="5" t="inlineStr">
        <is>
          <t>1 Maggio, festività</t>
        </is>
      </c>
      <c r="C21" s="9" t="n">
        <v>1.5</v>
      </c>
      <c r="D21" s="10">
        <f>$B$7*C21</f>
        <v/>
      </c>
      <c r="E21" s="7" t="inlineStr">
        <is>
          <t>Sant'Efisio etc</t>
        </is>
      </c>
    </row>
    <row r="23" ht="25" customHeight="1">
      <c r="A23" s="3" t="inlineStr">
        <is>
          <t>MOLTIPLICATORI GIORNI DELLA SETTIMANA</t>
        </is>
      </c>
    </row>
    <row r="24">
      <c r="A24" s="4" t="inlineStr">
        <is>
          <t>Giorno</t>
        </is>
      </c>
      <c r="B24" s="4" t="inlineStr">
        <is>
          <t>Moltiplicatore</t>
        </is>
      </c>
      <c r="C24" s="4" t="inlineStr">
        <is>
          <t>Note</t>
        </is>
      </c>
    </row>
    <row r="25">
      <c r="A25" s="5" t="inlineStr">
        <is>
          <t>Lunedì</t>
        </is>
      </c>
      <c r="B25" s="9" t="n">
        <v>0.85</v>
      </c>
      <c r="C25" s="7" t="inlineStr">
        <is>
          <t>Giorno scarico</t>
        </is>
      </c>
    </row>
    <row r="26">
      <c r="A26" s="5" t="inlineStr">
        <is>
          <t>Martedì</t>
        </is>
      </c>
      <c r="B26" s="9" t="n">
        <v>0.85</v>
      </c>
      <c r="C26" s="7" t="inlineStr">
        <is>
          <t>Giorno scarico</t>
        </is>
      </c>
    </row>
    <row r="27">
      <c r="A27" s="5" t="inlineStr">
        <is>
          <t>Mercoledì</t>
        </is>
      </c>
      <c r="B27" s="9" t="n">
        <v>0.9</v>
      </c>
      <c r="C27" s="7" t="inlineStr"/>
    </row>
    <row r="28">
      <c r="A28" s="5" t="inlineStr">
        <is>
          <t>Giovedì</t>
        </is>
      </c>
      <c r="B28" s="9" t="n">
        <v>0.95</v>
      </c>
      <c r="C28" s="7" t="inlineStr"/>
    </row>
    <row r="29">
      <c r="A29" s="5" t="inlineStr">
        <is>
          <t>Venerdì</t>
        </is>
      </c>
      <c r="B29" s="9" t="n">
        <v>1.1</v>
      </c>
      <c r="C29" s="7" t="inlineStr">
        <is>
          <t>Inizio weekend</t>
        </is>
      </c>
    </row>
    <row r="30">
      <c r="A30" s="5" t="inlineStr">
        <is>
          <t>Sabato</t>
        </is>
      </c>
      <c r="B30" s="9" t="n">
        <v>1.2</v>
      </c>
      <c r="C30" s="7" t="inlineStr">
        <is>
          <t>Top weekend</t>
        </is>
      </c>
    </row>
    <row r="31">
      <c r="A31" s="5" t="inlineStr">
        <is>
          <t>Domenica</t>
        </is>
      </c>
      <c r="B31" s="9" t="n">
        <v>1.05</v>
      </c>
      <c r="C31" s="7" t="inlineStr"/>
    </row>
  </sheetData>
  <mergeCells count="5">
    <mergeCell ref="A2:E2"/>
    <mergeCell ref="A15:E15"/>
    <mergeCell ref="A1:E1"/>
    <mergeCell ref="A23:E23"/>
    <mergeCell ref="A5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1" customWidth="1" min="4" max="4"/>
    <col width="11" customWidth="1" min="5" max="5"/>
    <col width="25" customWidth="1" min="6" max="6"/>
    <col width="11" customWidth="1" min="7" max="7"/>
    <col width="12" customWidth="1" min="8" max="8"/>
    <col width="25" customWidth="1" min="9" max="9"/>
  </cols>
  <sheetData>
    <row r="1" ht="35" customHeight="1">
      <c r="A1" s="1" t="inlineStr">
        <is>
          <t>CALENDARIO PREZZI 2026 - PICCOLA BELLAVISTA</t>
        </is>
      </c>
    </row>
    <row r="3">
      <c r="A3" s="11" t="inlineStr">
        <is>
          <t>Prezzo base:</t>
        </is>
      </c>
      <c r="B3" s="12">
        <f>Setup!B7</f>
        <v/>
      </c>
    </row>
    <row r="5" ht="25" customHeight="1">
      <c r="A5" s="13" t="inlineStr">
        <is>
          <t>Data</t>
        </is>
      </c>
      <c r="B5" s="13" t="inlineStr">
        <is>
          <t>Giorno</t>
        </is>
      </c>
      <c r="C5" s="13" t="inlineStr">
        <is>
          <t>Stagione</t>
        </is>
      </c>
      <c r="D5" s="13" t="inlineStr">
        <is>
          <t>Mol. Stag.</t>
        </is>
      </c>
      <c r="E5" s="13" t="inlineStr">
        <is>
          <t>Mol. Giorno</t>
        </is>
      </c>
      <c r="F5" s="13" t="inlineStr">
        <is>
          <t>Evento</t>
        </is>
      </c>
      <c r="G5" s="13" t="inlineStr">
        <is>
          <t>Mol. Evento</t>
        </is>
      </c>
      <c r="H5" s="13" t="inlineStr">
        <is>
          <t>PREZZO €</t>
        </is>
      </c>
      <c r="I5" s="13" t="inlineStr">
        <is>
          <t>Note</t>
        </is>
      </c>
    </row>
    <row r="6">
      <c r="A6" s="14" t="n">
        <v>46023</v>
      </c>
      <c r="B6" s="15" t="inlineStr">
        <is>
          <t>Giovedì</t>
        </is>
      </c>
      <c r="C6" s="15" t="inlineStr">
        <is>
          <t>Bassa</t>
        </is>
      </c>
      <c r="D6" s="16" t="n">
        <v>0.7</v>
      </c>
      <c r="E6" s="16" t="n">
        <v>0.95</v>
      </c>
      <c r="F6" s="15" t="inlineStr">
        <is>
          <t>Capodanno</t>
        </is>
      </c>
      <c r="G6" s="16" t="n">
        <v>1.5</v>
      </c>
      <c r="H6" s="17">
        <f>$B$3*D6*E6*G6</f>
        <v/>
      </c>
      <c r="I6" s="15" t="n"/>
    </row>
    <row r="7">
      <c r="A7" s="18" t="n">
        <v>46024</v>
      </c>
      <c r="B7" s="19" t="inlineStr">
        <is>
          <t>Venerdì</t>
        </is>
      </c>
      <c r="C7" s="20" t="inlineStr">
        <is>
          <t>Bassa</t>
        </is>
      </c>
      <c r="D7" s="21" t="n">
        <v>0.7</v>
      </c>
      <c r="E7" s="21" t="n">
        <v>1.1</v>
      </c>
      <c r="F7" s="20" t="inlineStr">
        <is>
          <t>-</t>
        </is>
      </c>
      <c r="G7" s="21" t="n">
        <v>1</v>
      </c>
      <c r="H7" s="22">
        <f>$B$3*D7*E7*G7</f>
        <v/>
      </c>
      <c r="I7" s="20" t="n"/>
    </row>
    <row r="8">
      <c r="A8" s="18" t="n">
        <v>46025</v>
      </c>
      <c r="B8" s="19" t="inlineStr">
        <is>
          <t>Sabato</t>
        </is>
      </c>
      <c r="C8" s="20" t="inlineStr">
        <is>
          <t>Bassa</t>
        </is>
      </c>
      <c r="D8" s="21" t="n">
        <v>0.7</v>
      </c>
      <c r="E8" s="21" t="n">
        <v>1.2</v>
      </c>
      <c r="F8" s="20" t="inlineStr">
        <is>
          <t>-</t>
        </is>
      </c>
      <c r="G8" s="21" t="n">
        <v>1</v>
      </c>
      <c r="H8" s="22">
        <f>$B$3*D8*E8*G8</f>
        <v/>
      </c>
      <c r="I8" s="20" t="n"/>
    </row>
    <row r="9">
      <c r="A9" s="18" t="n">
        <v>46026</v>
      </c>
      <c r="B9" s="19" t="inlineStr">
        <is>
          <t>Domenica</t>
        </is>
      </c>
      <c r="C9" s="20" t="inlineStr">
        <is>
          <t>Bassa</t>
        </is>
      </c>
      <c r="D9" s="21" t="n">
        <v>0.7</v>
      </c>
      <c r="E9" s="21" t="n">
        <v>1.05</v>
      </c>
      <c r="F9" s="20" t="inlineStr">
        <is>
          <t>-</t>
        </is>
      </c>
      <c r="G9" s="21" t="n">
        <v>1</v>
      </c>
      <c r="H9" s="22">
        <f>$B$3*D9*E9*G9</f>
        <v/>
      </c>
      <c r="I9" s="20" t="n"/>
    </row>
    <row r="10">
      <c r="A10" s="18" t="n">
        <v>46027</v>
      </c>
      <c r="B10" s="20" t="inlineStr">
        <is>
          <t>Lunedì</t>
        </is>
      </c>
      <c r="C10" s="20" t="inlineStr">
        <is>
          <t>Bassa</t>
        </is>
      </c>
      <c r="D10" s="21" t="n">
        <v>0.7</v>
      </c>
      <c r="E10" s="21" t="n">
        <v>0.85</v>
      </c>
      <c r="F10" s="20" t="inlineStr">
        <is>
          <t>-</t>
        </is>
      </c>
      <c r="G10" s="21" t="n">
        <v>1</v>
      </c>
      <c r="H10" s="22">
        <f>$B$3*D10*E10*G10</f>
        <v/>
      </c>
      <c r="I10" s="20" t="n"/>
    </row>
    <row r="11">
      <c r="A11" s="14" t="n">
        <v>46028</v>
      </c>
      <c r="B11" s="15" t="inlineStr">
        <is>
          <t>Martedì</t>
        </is>
      </c>
      <c r="C11" s="15" t="inlineStr">
        <is>
          <t>Bassa</t>
        </is>
      </c>
      <c r="D11" s="16" t="n">
        <v>0.7</v>
      </c>
      <c r="E11" s="16" t="n">
        <v>0.85</v>
      </c>
      <c r="F11" s="15" t="inlineStr">
        <is>
          <t>Epifania</t>
        </is>
      </c>
      <c r="G11" s="16" t="n">
        <v>1.2</v>
      </c>
      <c r="H11" s="17">
        <f>$B$3*D11*E11*G11</f>
        <v/>
      </c>
      <c r="I11" s="15" t="n"/>
    </row>
    <row r="12">
      <c r="A12" s="18" t="n">
        <v>46029</v>
      </c>
      <c r="B12" s="20" t="inlineStr">
        <is>
          <t>Mercoledì</t>
        </is>
      </c>
      <c r="C12" s="20" t="inlineStr">
        <is>
          <t>Bassa</t>
        </is>
      </c>
      <c r="D12" s="21" t="n">
        <v>0.7</v>
      </c>
      <c r="E12" s="21" t="n">
        <v>0.9</v>
      </c>
      <c r="F12" s="20" t="inlineStr">
        <is>
          <t>-</t>
        </is>
      </c>
      <c r="G12" s="21" t="n">
        <v>1</v>
      </c>
      <c r="H12" s="22">
        <f>$B$3*D12*E12*G12</f>
        <v/>
      </c>
      <c r="I12" s="20" t="n"/>
    </row>
    <row r="13">
      <c r="A13" s="18" t="n">
        <v>46030</v>
      </c>
      <c r="B13" s="20" t="inlineStr">
        <is>
          <t>Giovedì</t>
        </is>
      </c>
      <c r="C13" s="20" t="inlineStr">
        <is>
          <t>Bassa</t>
        </is>
      </c>
      <c r="D13" s="21" t="n">
        <v>0.7</v>
      </c>
      <c r="E13" s="21" t="n">
        <v>0.95</v>
      </c>
      <c r="F13" s="20" t="inlineStr">
        <is>
          <t>-</t>
        </is>
      </c>
      <c r="G13" s="21" t="n">
        <v>1</v>
      </c>
      <c r="H13" s="22">
        <f>$B$3*D13*E13*G13</f>
        <v/>
      </c>
      <c r="I13" s="20" t="n"/>
    </row>
    <row r="14">
      <c r="A14" s="18" t="n">
        <v>46031</v>
      </c>
      <c r="B14" s="19" t="inlineStr">
        <is>
          <t>Venerdì</t>
        </is>
      </c>
      <c r="C14" s="20" t="inlineStr">
        <is>
          <t>Bassa</t>
        </is>
      </c>
      <c r="D14" s="21" t="n">
        <v>0.7</v>
      </c>
      <c r="E14" s="21" t="n">
        <v>1.1</v>
      </c>
      <c r="F14" s="20" t="inlineStr">
        <is>
          <t>-</t>
        </is>
      </c>
      <c r="G14" s="21" t="n">
        <v>1</v>
      </c>
      <c r="H14" s="22">
        <f>$B$3*D14*E14*G14</f>
        <v/>
      </c>
      <c r="I14" s="20" t="n"/>
    </row>
    <row r="15">
      <c r="A15" s="18" t="n">
        <v>46032</v>
      </c>
      <c r="B15" s="19" t="inlineStr">
        <is>
          <t>Sabato</t>
        </is>
      </c>
      <c r="C15" s="20" t="inlineStr">
        <is>
          <t>Bassa</t>
        </is>
      </c>
      <c r="D15" s="21" t="n">
        <v>0.7</v>
      </c>
      <c r="E15" s="21" t="n">
        <v>1.2</v>
      </c>
      <c r="F15" s="20" t="inlineStr">
        <is>
          <t>-</t>
        </is>
      </c>
      <c r="G15" s="21" t="n">
        <v>1</v>
      </c>
      <c r="H15" s="22">
        <f>$B$3*D15*E15*G15</f>
        <v/>
      </c>
      <c r="I15" s="20" t="n"/>
    </row>
    <row r="16">
      <c r="A16" s="18" t="n">
        <v>46033</v>
      </c>
      <c r="B16" s="19" t="inlineStr">
        <is>
          <t>Domenica</t>
        </is>
      </c>
      <c r="C16" s="20" t="inlineStr">
        <is>
          <t>Bassa</t>
        </is>
      </c>
      <c r="D16" s="21" t="n">
        <v>0.7</v>
      </c>
      <c r="E16" s="21" t="n">
        <v>1.05</v>
      </c>
      <c r="F16" s="20" t="inlineStr">
        <is>
          <t>-</t>
        </is>
      </c>
      <c r="G16" s="21" t="n">
        <v>1</v>
      </c>
      <c r="H16" s="22">
        <f>$B$3*D16*E16*G16</f>
        <v/>
      </c>
      <c r="I16" s="20" t="n"/>
    </row>
    <row r="17">
      <c r="A17" s="18" t="n">
        <v>46034</v>
      </c>
      <c r="B17" s="20" t="inlineStr">
        <is>
          <t>Lunedì</t>
        </is>
      </c>
      <c r="C17" s="20" t="inlineStr">
        <is>
          <t>Bassa</t>
        </is>
      </c>
      <c r="D17" s="21" t="n">
        <v>0.7</v>
      </c>
      <c r="E17" s="21" t="n">
        <v>0.85</v>
      </c>
      <c r="F17" s="20" t="inlineStr">
        <is>
          <t>-</t>
        </is>
      </c>
      <c r="G17" s="21" t="n">
        <v>1</v>
      </c>
      <c r="H17" s="22">
        <f>$B$3*D17*E17*G17</f>
        <v/>
      </c>
      <c r="I17" s="20" t="n"/>
    </row>
    <row r="18">
      <c r="A18" s="18" t="n">
        <v>46035</v>
      </c>
      <c r="B18" s="20" t="inlineStr">
        <is>
          <t>Martedì</t>
        </is>
      </c>
      <c r="C18" s="20" t="inlineStr">
        <is>
          <t>Bassa</t>
        </is>
      </c>
      <c r="D18" s="21" t="n">
        <v>0.7</v>
      </c>
      <c r="E18" s="21" t="n">
        <v>0.85</v>
      </c>
      <c r="F18" s="20" t="inlineStr">
        <is>
          <t>-</t>
        </is>
      </c>
      <c r="G18" s="21" t="n">
        <v>1</v>
      </c>
      <c r="H18" s="22">
        <f>$B$3*D18*E18*G18</f>
        <v/>
      </c>
      <c r="I18" s="20" t="n"/>
    </row>
    <row r="19">
      <c r="A19" s="18" t="n">
        <v>46036</v>
      </c>
      <c r="B19" s="20" t="inlineStr">
        <is>
          <t>Mercoledì</t>
        </is>
      </c>
      <c r="C19" s="20" t="inlineStr">
        <is>
          <t>Bassa</t>
        </is>
      </c>
      <c r="D19" s="21" t="n">
        <v>0.7</v>
      </c>
      <c r="E19" s="21" t="n">
        <v>0.9</v>
      </c>
      <c r="F19" s="20" t="inlineStr">
        <is>
          <t>-</t>
        </is>
      </c>
      <c r="G19" s="21" t="n">
        <v>1</v>
      </c>
      <c r="H19" s="22">
        <f>$B$3*D19*E19*G19</f>
        <v/>
      </c>
      <c r="I19" s="20" t="n"/>
    </row>
    <row r="20">
      <c r="A20" s="18" t="n">
        <v>46037</v>
      </c>
      <c r="B20" s="20" t="inlineStr">
        <is>
          <t>Giovedì</t>
        </is>
      </c>
      <c r="C20" s="20" t="inlineStr">
        <is>
          <t>Bassa</t>
        </is>
      </c>
      <c r="D20" s="21" t="n">
        <v>0.7</v>
      </c>
      <c r="E20" s="21" t="n">
        <v>0.95</v>
      </c>
      <c r="F20" s="20" t="inlineStr">
        <is>
          <t>-</t>
        </is>
      </c>
      <c r="G20" s="21" t="n">
        <v>1</v>
      </c>
      <c r="H20" s="22">
        <f>$B$3*D20*E20*G20</f>
        <v/>
      </c>
      <c r="I20" s="20" t="n"/>
    </row>
    <row r="21">
      <c r="A21" s="18" t="n">
        <v>46038</v>
      </c>
      <c r="B21" s="19" t="inlineStr">
        <is>
          <t>Venerdì</t>
        </is>
      </c>
      <c r="C21" s="20" t="inlineStr">
        <is>
          <t>Bassa</t>
        </is>
      </c>
      <c r="D21" s="21" t="n">
        <v>0.7</v>
      </c>
      <c r="E21" s="21" t="n">
        <v>1.1</v>
      </c>
      <c r="F21" s="20" t="inlineStr">
        <is>
          <t>-</t>
        </is>
      </c>
      <c r="G21" s="21" t="n">
        <v>1</v>
      </c>
      <c r="H21" s="22">
        <f>$B$3*D21*E21*G21</f>
        <v/>
      </c>
      <c r="I21" s="20" t="n"/>
    </row>
    <row r="22">
      <c r="A22" s="18" t="n">
        <v>46039</v>
      </c>
      <c r="B22" s="19" t="inlineStr">
        <is>
          <t>Sabato</t>
        </is>
      </c>
      <c r="C22" s="20" t="inlineStr">
        <is>
          <t>Bassa</t>
        </is>
      </c>
      <c r="D22" s="21" t="n">
        <v>0.7</v>
      </c>
      <c r="E22" s="21" t="n">
        <v>1.2</v>
      </c>
      <c r="F22" s="20" t="inlineStr">
        <is>
          <t>-</t>
        </is>
      </c>
      <c r="G22" s="21" t="n">
        <v>1</v>
      </c>
      <c r="H22" s="22">
        <f>$B$3*D22*E22*G22</f>
        <v/>
      </c>
      <c r="I22" s="20" t="n"/>
    </row>
    <row r="23">
      <c r="A23" s="18" t="n">
        <v>46040</v>
      </c>
      <c r="B23" s="19" t="inlineStr">
        <is>
          <t>Domenica</t>
        </is>
      </c>
      <c r="C23" s="20" t="inlineStr">
        <is>
          <t>Bassa</t>
        </is>
      </c>
      <c r="D23" s="21" t="n">
        <v>0.7</v>
      </c>
      <c r="E23" s="21" t="n">
        <v>1.05</v>
      </c>
      <c r="F23" s="20" t="inlineStr">
        <is>
          <t>-</t>
        </is>
      </c>
      <c r="G23" s="21" t="n">
        <v>1</v>
      </c>
      <c r="H23" s="22">
        <f>$B$3*D23*E23*G23</f>
        <v/>
      </c>
      <c r="I23" s="20" t="n"/>
    </row>
    <row r="24">
      <c r="A24" s="18" t="n">
        <v>46041</v>
      </c>
      <c r="B24" s="20" t="inlineStr">
        <is>
          <t>Lunedì</t>
        </is>
      </c>
      <c r="C24" s="20" t="inlineStr">
        <is>
          <t>Bassa</t>
        </is>
      </c>
      <c r="D24" s="21" t="n">
        <v>0.7</v>
      </c>
      <c r="E24" s="21" t="n">
        <v>0.85</v>
      </c>
      <c r="F24" s="20" t="inlineStr">
        <is>
          <t>-</t>
        </is>
      </c>
      <c r="G24" s="21" t="n">
        <v>1</v>
      </c>
      <c r="H24" s="22">
        <f>$B$3*D24*E24*G24</f>
        <v/>
      </c>
      <c r="I24" s="20" t="n"/>
    </row>
    <row r="25">
      <c r="A25" s="18" t="n">
        <v>46042</v>
      </c>
      <c r="B25" s="20" t="inlineStr">
        <is>
          <t>Martedì</t>
        </is>
      </c>
      <c r="C25" s="20" t="inlineStr">
        <is>
          <t>Bassa</t>
        </is>
      </c>
      <c r="D25" s="21" t="n">
        <v>0.7</v>
      </c>
      <c r="E25" s="21" t="n">
        <v>0.85</v>
      </c>
      <c r="F25" s="20" t="inlineStr">
        <is>
          <t>-</t>
        </is>
      </c>
      <c r="G25" s="21" t="n">
        <v>1</v>
      </c>
      <c r="H25" s="22">
        <f>$B$3*D25*E25*G25</f>
        <v/>
      </c>
      <c r="I25" s="20" t="n"/>
    </row>
    <row r="26">
      <c r="A26" s="18" t="n">
        <v>46043</v>
      </c>
      <c r="B26" s="20" t="inlineStr">
        <is>
          <t>Mercoledì</t>
        </is>
      </c>
      <c r="C26" s="20" t="inlineStr">
        <is>
          <t>Bassa</t>
        </is>
      </c>
      <c r="D26" s="21" t="n">
        <v>0.7</v>
      </c>
      <c r="E26" s="21" t="n">
        <v>0.9</v>
      </c>
      <c r="F26" s="20" t="inlineStr">
        <is>
          <t>-</t>
        </is>
      </c>
      <c r="G26" s="21" t="n">
        <v>1</v>
      </c>
      <c r="H26" s="22">
        <f>$B$3*D26*E26*G26</f>
        <v/>
      </c>
      <c r="I26" s="20" t="n"/>
    </row>
    <row r="27">
      <c r="A27" s="18" t="n">
        <v>46044</v>
      </c>
      <c r="B27" s="20" t="inlineStr">
        <is>
          <t>Giovedì</t>
        </is>
      </c>
      <c r="C27" s="20" t="inlineStr">
        <is>
          <t>Bassa</t>
        </is>
      </c>
      <c r="D27" s="21" t="n">
        <v>0.7</v>
      </c>
      <c r="E27" s="21" t="n">
        <v>0.95</v>
      </c>
      <c r="F27" s="20" t="inlineStr">
        <is>
          <t>-</t>
        </is>
      </c>
      <c r="G27" s="21" t="n">
        <v>1</v>
      </c>
      <c r="H27" s="22">
        <f>$B$3*D27*E27*G27</f>
        <v/>
      </c>
      <c r="I27" s="20" t="n"/>
    </row>
    <row r="28">
      <c r="A28" s="18" t="n">
        <v>46045</v>
      </c>
      <c r="B28" s="19" t="inlineStr">
        <is>
          <t>Venerdì</t>
        </is>
      </c>
      <c r="C28" s="20" t="inlineStr">
        <is>
          <t>Bassa</t>
        </is>
      </c>
      <c r="D28" s="21" t="n">
        <v>0.7</v>
      </c>
      <c r="E28" s="21" t="n">
        <v>1.1</v>
      </c>
      <c r="F28" s="20" t="inlineStr">
        <is>
          <t>-</t>
        </is>
      </c>
      <c r="G28" s="21" t="n">
        <v>1</v>
      </c>
      <c r="H28" s="22">
        <f>$B$3*D28*E28*G28</f>
        <v/>
      </c>
      <c r="I28" s="20" t="n"/>
    </row>
    <row r="29">
      <c r="A29" s="18" t="n">
        <v>46046</v>
      </c>
      <c r="B29" s="19" t="inlineStr">
        <is>
          <t>Sabato</t>
        </is>
      </c>
      <c r="C29" s="20" t="inlineStr">
        <is>
          <t>Bassa</t>
        </is>
      </c>
      <c r="D29" s="21" t="n">
        <v>0.7</v>
      </c>
      <c r="E29" s="21" t="n">
        <v>1.2</v>
      </c>
      <c r="F29" s="20" t="inlineStr">
        <is>
          <t>-</t>
        </is>
      </c>
      <c r="G29" s="21" t="n">
        <v>1</v>
      </c>
      <c r="H29" s="22">
        <f>$B$3*D29*E29*G29</f>
        <v/>
      </c>
      <c r="I29" s="20" t="n"/>
    </row>
    <row r="30">
      <c r="A30" s="18" t="n">
        <v>46047</v>
      </c>
      <c r="B30" s="19" t="inlineStr">
        <is>
          <t>Domenica</t>
        </is>
      </c>
      <c r="C30" s="20" t="inlineStr">
        <is>
          <t>Bassa</t>
        </is>
      </c>
      <c r="D30" s="21" t="n">
        <v>0.7</v>
      </c>
      <c r="E30" s="21" t="n">
        <v>1.05</v>
      </c>
      <c r="F30" s="20" t="inlineStr">
        <is>
          <t>-</t>
        </is>
      </c>
      <c r="G30" s="21" t="n">
        <v>1</v>
      </c>
      <c r="H30" s="22">
        <f>$B$3*D30*E30*G30</f>
        <v/>
      </c>
      <c r="I30" s="20" t="n"/>
    </row>
    <row r="31">
      <c r="A31" s="18" t="n">
        <v>46048</v>
      </c>
      <c r="B31" s="20" t="inlineStr">
        <is>
          <t>Lunedì</t>
        </is>
      </c>
      <c r="C31" s="20" t="inlineStr">
        <is>
          <t>Bassa</t>
        </is>
      </c>
      <c r="D31" s="21" t="n">
        <v>0.7</v>
      </c>
      <c r="E31" s="21" t="n">
        <v>0.85</v>
      </c>
      <c r="F31" s="20" t="inlineStr">
        <is>
          <t>-</t>
        </is>
      </c>
      <c r="G31" s="21" t="n">
        <v>1</v>
      </c>
      <c r="H31" s="22">
        <f>$B$3*D31*E31*G31</f>
        <v/>
      </c>
      <c r="I31" s="20" t="n"/>
    </row>
    <row r="32">
      <c r="A32" s="18" t="n">
        <v>46049</v>
      </c>
      <c r="B32" s="20" t="inlineStr">
        <is>
          <t>Martedì</t>
        </is>
      </c>
      <c r="C32" s="20" t="inlineStr">
        <is>
          <t>Bassa</t>
        </is>
      </c>
      <c r="D32" s="21" t="n">
        <v>0.7</v>
      </c>
      <c r="E32" s="21" t="n">
        <v>0.85</v>
      </c>
      <c r="F32" s="20" t="inlineStr">
        <is>
          <t>-</t>
        </is>
      </c>
      <c r="G32" s="21" t="n">
        <v>1</v>
      </c>
      <c r="H32" s="22">
        <f>$B$3*D32*E32*G32</f>
        <v/>
      </c>
      <c r="I32" s="20" t="n"/>
    </row>
    <row r="33">
      <c r="A33" s="18" t="n">
        <v>46050</v>
      </c>
      <c r="B33" s="20" t="inlineStr">
        <is>
          <t>Mercoledì</t>
        </is>
      </c>
      <c r="C33" s="20" t="inlineStr">
        <is>
          <t>Bassa</t>
        </is>
      </c>
      <c r="D33" s="21" t="n">
        <v>0.7</v>
      </c>
      <c r="E33" s="21" t="n">
        <v>0.9</v>
      </c>
      <c r="F33" s="20" t="inlineStr">
        <is>
          <t>-</t>
        </is>
      </c>
      <c r="G33" s="21" t="n">
        <v>1</v>
      </c>
      <c r="H33" s="22">
        <f>$B$3*D33*E33*G33</f>
        <v/>
      </c>
      <c r="I33" s="20" t="n"/>
    </row>
    <row r="34">
      <c r="A34" s="18" t="n">
        <v>46051</v>
      </c>
      <c r="B34" s="20" t="inlineStr">
        <is>
          <t>Giovedì</t>
        </is>
      </c>
      <c r="C34" s="20" t="inlineStr">
        <is>
          <t>Bassa</t>
        </is>
      </c>
      <c r="D34" s="21" t="n">
        <v>0.7</v>
      </c>
      <c r="E34" s="21" t="n">
        <v>0.95</v>
      </c>
      <c r="F34" s="20" t="inlineStr">
        <is>
          <t>-</t>
        </is>
      </c>
      <c r="G34" s="21" t="n">
        <v>1</v>
      </c>
      <c r="H34" s="22">
        <f>$B$3*D34*E34*G34</f>
        <v/>
      </c>
      <c r="I34" s="20" t="n"/>
    </row>
    <row r="35">
      <c r="A35" s="18" t="n">
        <v>46052</v>
      </c>
      <c r="B35" s="19" t="inlineStr">
        <is>
          <t>Venerdì</t>
        </is>
      </c>
      <c r="C35" s="20" t="inlineStr">
        <is>
          <t>Bassa</t>
        </is>
      </c>
      <c r="D35" s="21" t="n">
        <v>0.7</v>
      </c>
      <c r="E35" s="21" t="n">
        <v>1.1</v>
      </c>
      <c r="F35" s="20" t="inlineStr">
        <is>
          <t>-</t>
        </is>
      </c>
      <c r="G35" s="21" t="n">
        <v>1</v>
      </c>
      <c r="H35" s="22">
        <f>$B$3*D35*E35*G35</f>
        <v/>
      </c>
      <c r="I35" s="20" t="n"/>
    </row>
    <row r="36">
      <c r="A36" s="18" t="n">
        <v>46053</v>
      </c>
      <c r="B36" s="19" t="inlineStr">
        <is>
          <t>Sabato</t>
        </is>
      </c>
      <c r="C36" s="20" t="inlineStr">
        <is>
          <t>Bassa</t>
        </is>
      </c>
      <c r="D36" s="21" t="n">
        <v>0.7</v>
      </c>
      <c r="E36" s="21" t="n">
        <v>1.2</v>
      </c>
      <c r="F36" s="20" t="inlineStr">
        <is>
          <t>-</t>
        </is>
      </c>
      <c r="G36" s="21" t="n">
        <v>1</v>
      </c>
      <c r="H36" s="22">
        <f>$B$3*D36*E36*G36</f>
        <v/>
      </c>
      <c r="I36" s="20" t="n"/>
    </row>
    <row r="37">
      <c r="A37" s="18" t="n">
        <v>46054</v>
      </c>
      <c r="B37" s="19" t="inlineStr">
        <is>
          <t>Domenica</t>
        </is>
      </c>
      <c r="C37" s="20" t="inlineStr">
        <is>
          <t>Bassa</t>
        </is>
      </c>
      <c r="D37" s="21" t="n">
        <v>0.7</v>
      </c>
      <c r="E37" s="21" t="n">
        <v>1.05</v>
      </c>
      <c r="F37" s="20" t="inlineStr">
        <is>
          <t>-</t>
        </is>
      </c>
      <c r="G37" s="21" t="n">
        <v>1</v>
      </c>
      <c r="H37" s="22">
        <f>$B$3*D37*E37*G37</f>
        <v/>
      </c>
      <c r="I37" s="20" t="n"/>
    </row>
    <row r="38">
      <c r="A38" s="18" t="n">
        <v>46055</v>
      </c>
      <c r="B38" s="20" t="inlineStr">
        <is>
          <t>Lunedì</t>
        </is>
      </c>
      <c r="C38" s="20" t="inlineStr">
        <is>
          <t>Bassa</t>
        </is>
      </c>
      <c r="D38" s="21" t="n">
        <v>0.7</v>
      </c>
      <c r="E38" s="21" t="n">
        <v>0.85</v>
      </c>
      <c r="F38" s="20" t="inlineStr">
        <is>
          <t>-</t>
        </is>
      </c>
      <c r="G38" s="21" t="n">
        <v>1</v>
      </c>
      <c r="H38" s="22">
        <f>$B$3*D38*E38*G38</f>
        <v/>
      </c>
      <c r="I38" s="20" t="n"/>
    </row>
    <row r="39">
      <c r="A39" s="18" t="n">
        <v>46056</v>
      </c>
      <c r="B39" s="20" t="inlineStr">
        <is>
          <t>Martedì</t>
        </is>
      </c>
      <c r="C39" s="20" t="inlineStr">
        <is>
          <t>Bassa</t>
        </is>
      </c>
      <c r="D39" s="21" t="n">
        <v>0.7</v>
      </c>
      <c r="E39" s="21" t="n">
        <v>0.85</v>
      </c>
      <c r="F39" s="20" t="inlineStr">
        <is>
          <t>-</t>
        </is>
      </c>
      <c r="G39" s="21" t="n">
        <v>1</v>
      </c>
      <c r="H39" s="22">
        <f>$B$3*D39*E39*G39</f>
        <v/>
      </c>
      <c r="I39" s="20" t="n"/>
    </row>
    <row r="40">
      <c r="A40" s="18" t="n">
        <v>46057</v>
      </c>
      <c r="B40" s="20" t="inlineStr">
        <is>
          <t>Mercoledì</t>
        </is>
      </c>
      <c r="C40" s="20" t="inlineStr">
        <is>
          <t>Bassa</t>
        </is>
      </c>
      <c r="D40" s="21" t="n">
        <v>0.7</v>
      </c>
      <c r="E40" s="21" t="n">
        <v>0.9</v>
      </c>
      <c r="F40" s="20" t="inlineStr">
        <is>
          <t>-</t>
        </is>
      </c>
      <c r="G40" s="21" t="n">
        <v>1</v>
      </c>
      <c r="H40" s="22">
        <f>$B$3*D40*E40*G40</f>
        <v/>
      </c>
      <c r="I40" s="20" t="n"/>
    </row>
    <row r="41">
      <c r="A41" s="18" t="n">
        <v>46058</v>
      </c>
      <c r="B41" s="20" t="inlineStr">
        <is>
          <t>Giovedì</t>
        </is>
      </c>
      <c r="C41" s="20" t="inlineStr">
        <is>
          <t>Bassa</t>
        </is>
      </c>
      <c r="D41" s="21" t="n">
        <v>0.7</v>
      </c>
      <c r="E41" s="21" t="n">
        <v>0.95</v>
      </c>
      <c r="F41" s="20" t="inlineStr">
        <is>
          <t>-</t>
        </is>
      </c>
      <c r="G41" s="21" t="n">
        <v>1</v>
      </c>
      <c r="H41" s="22">
        <f>$B$3*D41*E41*G41</f>
        <v/>
      </c>
      <c r="I41" s="20" t="n"/>
    </row>
    <row r="42">
      <c r="A42" s="18" t="n">
        <v>46059</v>
      </c>
      <c r="B42" s="19" t="inlineStr">
        <is>
          <t>Venerdì</t>
        </is>
      </c>
      <c r="C42" s="20" t="inlineStr">
        <is>
          <t>Bassa</t>
        </is>
      </c>
      <c r="D42" s="21" t="n">
        <v>0.7</v>
      </c>
      <c r="E42" s="21" t="n">
        <v>1.1</v>
      </c>
      <c r="F42" s="20" t="inlineStr">
        <is>
          <t>-</t>
        </is>
      </c>
      <c r="G42" s="21" t="n">
        <v>1</v>
      </c>
      <c r="H42" s="22">
        <f>$B$3*D42*E42*G42</f>
        <v/>
      </c>
      <c r="I42" s="20" t="n"/>
    </row>
    <row r="43">
      <c r="A43" s="18" t="n">
        <v>46060</v>
      </c>
      <c r="B43" s="19" t="inlineStr">
        <is>
          <t>Sabato</t>
        </is>
      </c>
      <c r="C43" s="20" t="inlineStr">
        <is>
          <t>Bassa</t>
        </is>
      </c>
      <c r="D43" s="21" t="n">
        <v>0.7</v>
      </c>
      <c r="E43" s="21" t="n">
        <v>1.2</v>
      </c>
      <c r="F43" s="20" t="inlineStr">
        <is>
          <t>-</t>
        </is>
      </c>
      <c r="G43" s="21" t="n">
        <v>1</v>
      </c>
      <c r="H43" s="22">
        <f>$B$3*D43*E43*G43</f>
        <v/>
      </c>
      <c r="I43" s="20" t="n"/>
    </row>
    <row r="44">
      <c r="A44" s="18" t="n">
        <v>46061</v>
      </c>
      <c r="B44" s="19" t="inlineStr">
        <is>
          <t>Domenica</t>
        </is>
      </c>
      <c r="C44" s="20" t="inlineStr">
        <is>
          <t>Bassa</t>
        </is>
      </c>
      <c r="D44" s="21" t="n">
        <v>0.7</v>
      </c>
      <c r="E44" s="21" t="n">
        <v>1.05</v>
      </c>
      <c r="F44" s="20" t="inlineStr">
        <is>
          <t>-</t>
        </is>
      </c>
      <c r="G44" s="21" t="n">
        <v>1</v>
      </c>
      <c r="H44" s="22">
        <f>$B$3*D44*E44*G44</f>
        <v/>
      </c>
      <c r="I44" s="20" t="n"/>
    </row>
    <row r="45">
      <c r="A45" s="18" t="n">
        <v>46062</v>
      </c>
      <c r="B45" s="20" t="inlineStr">
        <is>
          <t>Lunedì</t>
        </is>
      </c>
      <c r="C45" s="20" t="inlineStr">
        <is>
          <t>Bassa</t>
        </is>
      </c>
      <c r="D45" s="21" t="n">
        <v>0.7</v>
      </c>
      <c r="E45" s="21" t="n">
        <v>0.85</v>
      </c>
      <c r="F45" s="20" t="inlineStr">
        <is>
          <t>-</t>
        </is>
      </c>
      <c r="G45" s="21" t="n">
        <v>1</v>
      </c>
      <c r="H45" s="22">
        <f>$B$3*D45*E45*G45</f>
        <v/>
      </c>
      <c r="I45" s="20" t="n"/>
    </row>
    <row r="46">
      <c r="A46" s="18" t="n">
        <v>46063</v>
      </c>
      <c r="B46" s="20" t="inlineStr">
        <is>
          <t>Martedì</t>
        </is>
      </c>
      <c r="C46" s="20" t="inlineStr">
        <is>
          <t>Bassa</t>
        </is>
      </c>
      <c r="D46" s="21" t="n">
        <v>0.7</v>
      </c>
      <c r="E46" s="21" t="n">
        <v>0.85</v>
      </c>
      <c r="F46" s="20" t="inlineStr">
        <is>
          <t>-</t>
        </is>
      </c>
      <c r="G46" s="21" t="n">
        <v>1</v>
      </c>
      <c r="H46" s="22">
        <f>$B$3*D46*E46*G46</f>
        <v/>
      </c>
      <c r="I46" s="20" t="n"/>
    </row>
    <row r="47">
      <c r="A47" s="18" t="n">
        <v>46064</v>
      </c>
      <c r="B47" s="20" t="inlineStr">
        <is>
          <t>Mercoledì</t>
        </is>
      </c>
      <c r="C47" s="20" t="inlineStr">
        <is>
          <t>Bassa</t>
        </is>
      </c>
      <c r="D47" s="21" t="n">
        <v>0.7</v>
      </c>
      <c r="E47" s="21" t="n">
        <v>0.9</v>
      </c>
      <c r="F47" s="20" t="inlineStr">
        <is>
          <t>-</t>
        </is>
      </c>
      <c r="G47" s="21" t="n">
        <v>1</v>
      </c>
      <c r="H47" s="22">
        <f>$B$3*D47*E47*G47</f>
        <v/>
      </c>
      <c r="I47" s="20" t="n"/>
    </row>
    <row r="48">
      <c r="A48" s="18" t="n">
        <v>46065</v>
      </c>
      <c r="B48" s="20" t="inlineStr">
        <is>
          <t>Giovedì</t>
        </is>
      </c>
      <c r="C48" s="20" t="inlineStr">
        <is>
          <t>Bassa</t>
        </is>
      </c>
      <c r="D48" s="21" t="n">
        <v>0.7</v>
      </c>
      <c r="E48" s="21" t="n">
        <v>0.95</v>
      </c>
      <c r="F48" s="20" t="inlineStr">
        <is>
          <t>-</t>
        </is>
      </c>
      <c r="G48" s="21" t="n">
        <v>1</v>
      </c>
      <c r="H48" s="22">
        <f>$B$3*D48*E48*G48</f>
        <v/>
      </c>
      <c r="I48" s="20" t="n"/>
    </row>
    <row r="49">
      <c r="A49" s="18" t="n">
        <v>46066</v>
      </c>
      <c r="B49" s="19" t="inlineStr">
        <is>
          <t>Venerdì</t>
        </is>
      </c>
      <c r="C49" s="20" t="inlineStr">
        <is>
          <t>Bassa</t>
        </is>
      </c>
      <c r="D49" s="21" t="n">
        <v>0.7</v>
      </c>
      <c r="E49" s="21" t="n">
        <v>1.1</v>
      </c>
      <c r="F49" s="20" t="inlineStr">
        <is>
          <t>-</t>
        </is>
      </c>
      <c r="G49" s="21" t="n">
        <v>1</v>
      </c>
      <c r="H49" s="22">
        <f>$B$3*D49*E49*G49</f>
        <v/>
      </c>
      <c r="I49" s="20" t="n"/>
    </row>
    <row r="50">
      <c r="A50" s="18" t="n">
        <v>46067</v>
      </c>
      <c r="B50" s="19" t="inlineStr">
        <is>
          <t>Sabato</t>
        </is>
      </c>
      <c r="C50" s="20" t="inlineStr">
        <is>
          <t>Bassa</t>
        </is>
      </c>
      <c r="D50" s="21" t="n">
        <v>0.7</v>
      </c>
      <c r="E50" s="21" t="n">
        <v>1.2</v>
      </c>
      <c r="F50" s="20" t="inlineStr">
        <is>
          <t>-</t>
        </is>
      </c>
      <c r="G50" s="21" t="n">
        <v>1</v>
      </c>
      <c r="H50" s="22">
        <f>$B$3*D50*E50*G50</f>
        <v/>
      </c>
      <c r="I50" s="20" t="n"/>
    </row>
    <row r="51">
      <c r="A51" s="18" t="n">
        <v>46068</v>
      </c>
      <c r="B51" s="19" t="inlineStr">
        <is>
          <t>Domenica</t>
        </is>
      </c>
      <c r="C51" s="20" t="inlineStr">
        <is>
          <t>Bassa</t>
        </is>
      </c>
      <c r="D51" s="21" t="n">
        <v>0.7</v>
      </c>
      <c r="E51" s="21" t="n">
        <v>1.05</v>
      </c>
      <c r="F51" s="20" t="inlineStr">
        <is>
          <t>-</t>
        </is>
      </c>
      <c r="G51" s="21" t="n">
        <v>1</v>
      </c>
      <c r="H51" s="22">
        <f>$B$3*D51*E51*G51</f>
        <v/>
      </c>
      <c r="I51" s="20" t="n"/>
    </row>
    <row r="52">
      <c r="A52" s="18" t="n">
        <v>46069</v>
      </c>
      <c r="B52" s="20" t="inlineStr">
        <is>
          <t>Lunedì</t>
        </is>
      </c>
      <c r="C52" s="20" t="inlineStr">
        <is>
          <t>Bassa</t>
        </is>
      </c>
      <c r="D52" s="21" t="n">
        <v>0.7</v>
      </c>
      <c r="E52" s="21" t="n">
        <v>0.85</v>
      </c>
      <c r="F52" s="20" t="inlineStr">
        <is>
          <t>-</t>
        </is>
      </c>
      <c r="G52" s="21" t="n">
        <v>1</v>
      </c>
      <c r="H52" s="22">
        <f>$B$3*D52*E52*G52</f>
        <v/>
      </c>
      <c r="I52" s="20" t="n"/>
    </row>
    <row r="53">
      <c r="A53" s="18" t="n">
        <v>46070</v>
      </c>
      <c r="B53" s="20" t="inlineStr">
        <is>
          <t>Martedì</t>
        </is>
      </c>
      <c r="C53" s="20" t="inlineStr">
        <is>
          <t>Bassa</t>
        </is>
      </c>
      <c r="D53" s="21" t="n">
        <v>0.7</v>
      </c>
      <c r="E53" s="21" t="n">
        <v>0.85</v>
      </c>
      <c r="F53" s="20" t="inlineStr">
        <is>
          <t>-</t>
        </is>
      </c>
      <c r="G53" s="21" t="n">
        <v>1</v>
      </c>
      <c r="H53" s="22">
        <f>$B$3*D53*E53*G53</f>
        <v/>
      </c>
      <c r="I53" s="20" t="n"/>
    </row>
    <row r="54">
      <c r="A54" s="18" t="n">
        <v>46071</v>
      </c>
      <c r="B54" s="20" t="inlineStr">
        <is>
          <t>Mercoledì</t>
        </is>
      </c>
      <c r="C54" s="20" t="inlineStr">
        <is>
          <t>Bassa</t>
        </is>
      </c>
      <c r="D54" s="21" t="n">
        <v>0.7</v>
      </c>
      <c r="E54" s="21" t="n">
        <v>0.9</v>
      </c>
      <c r="F54" s="20" t="inlineStr">
        <is>
          <t>-</t>
        </is>
      </c>
      <c r="G54" s="21" t="n">
        <v>1</v>
      </c>
      <c r="H54" s="22">
        <f>$B$3*D54*E54*G54</f>
        <v/>
      </c>
      <c r="I54" s="20" t="n"/>
    </row>
    <row r="55">
      <c r="A55" s="18" t="n">
        <v>46072</v>
      </c>
      <c r="B55" s="20" t="inlineStr">
        <is>
          <t>Giovedì</t>
        </is>
      </c>
      <c r="C55" s="20" t="inlineStr">
        <is>
          <t>Bassa</t>
        </is>
      </c>
      <c r="D55" s="21" t="n">
        <v>0.7</v>
      </c>
      <c r="E55" s="21" t="n">
        <v>0.95</v>
      </c>
      <c r="F55" s="20" t="inlineStr">
        <is>
          <t>-</t>
        </is>
      </c>
      <c r="G55" s="21" t="n">
        <v>1</v>
      </c>
      <c r="H55" s="22">
        <f>$B$3*D55*E55*G55</f>
        <v/>
      </c>
      <c r="I55" s="20" t="n"/>
    </row>
    <row r="56">
      <c r="A56" s="18" t="n">
        <v>46073</v>
      </c>
      <c r="B56" s="19" t="inlineStr">
        <is>
          <t>Venerdì</t>
        </is>
      </c>
      <c r="C56" s="20" t="inlineStr">
        <is>
          <t>Bassa</t>
        </is>
      </c>
      <c r="D56" s="21" t="n">
        <v>0.7</v>
      </c>
      <c r="E56" s="21" t="n">
        <v>1.1</v>
      </c>
      <c r="F56" s="20" t="inlineStr">
        <is>
          <t>-</t>
        </is>
      </c>
      <c r="G56" s="21" t="n">
        <v>1</v>
      </c>
      <c r="H56" s="22">
        <f>$B$3*D56*E56*G56</f>
        <v/>
      </c>
      <c r="I56" s="20" t="n"/>
    </row>
    <row r="57">
      <c r="A57" s="18" t="n">
        <v>46074</v>
      </c>
      <c r="B57" s="19" t="inlineStr">
        <is>
          <t>Sabato</t>
        </is>
      </c>
      <c r="C57" s="20" t="inlineStr">
        <is>
          <t>Bassa</t>
        </is>
      </c>
      <c r="D57" s="21" t="n">
        <v>0.7</v>
      </c>
      <c r="E57" s="21" t="n">
        <v>1.2</v>
      </c>
      <c r="F57" s="20" t="inlineStr">
        <is>
          <t>-</t>
        </is>
      </c>
      <c r="G57" s="21" t="n">
        <v>1</v>
      </c>
      <c r="H57" s="22">
        <f>$B$3*D57*E57*G57</f>
        <v/>
      </c>
      <c r="I57" s="20" t="n"/>
    </row>
    <row r="58">
      <c r="A58" s="18" t="n">
        <v>46075</v>
      </c>
      <c r="B58" s="19" t="inlineStr">
        <is>
          <t>Domenica</t>
        </is>
      </c>
      <c r="C58" s="20" t="inlineStr">
        <is>
          <t>Bassa</t>
        </is>
      </c>
      <c r="D58" s="21" t="n">
        <v>0.7</v>
      </c>
      <c r="E58" s="21" t="n">
        <v>1.05</v>
      </c>
      <c r="F58" s="20" t="inlineStr">
        <is>
          <t>-</t>
        </is>
      </c>
      <c r="G58" s="21" t="n">
        <v>1</v>
      </c>
      <c r="H58" s="22">
        <f>$B$3*D58*E58*G58</f>
        <v/>
      </c>
      <c r="I58" s="20" t="n"/>
    </row>
    <row r="59">
      <c r="A59" s="18" t="n">
        <v>46076</v>
      </c>
      <c r="B59" s="20" t="inlineStr">
        <is>
          <t>Lunedì</t>
        </is>
      </c>
      <c r="C59" s="20" t="inlineStr">
        <is>
          <t>Bassa</t>
        </is>
      </c>
      <c r="D59" s="21" t="n">
        <v>0.7</v>
      </c>
      <c r="E59" s="21" t="n">
        <v>0.85</v>
      </c>
      <c r="F59" s="20" t="inlineStr">
        <is>
          <t>-</t>
        </is>
      </c>
      <c r="G59" s="21" t="n">
        <v>1</v>
      </c>
      <c r="H59" s="22">
        <f>$B$3*D59*E59*G59</f>
        <v/>
      </c>
      <c r="I59" s="20" t="n"/>
    </row>
    <row r="60">
      <c r="A60" s="18" t="n">
        <v>46077</v>
      </c>
      <c r="B60" s="20" t="inlineStr">
        <is>
          <t>Martedì</t>
        </is>
      </c>
      <c r="C60" s="20" t="inlineStr">
        <is>
          <t>Bassa</t>
        </is>
      </c>
      <c r="D60" s="21" t="n">
        <v>0.7</v>
      </c>
      <c r="E60" s="21" t="n">
        <v>0.85</v>
      </c>
      <c r="F60" s="20" t="inlineStr">
        <is>
          <t>-</t>
        </is>
      </c>
      <c r="G60" s="21" t="n">
        <v>1</v>
      </c>
      <c r="H60" s="22">
        <f>$B$3*D60*E60*G60</f>
        <v/>
      </c>
      <c r="I60" s="20" t="n"/>
    </row>
    <row r="61">
      <c r="A61" s="18" t="n">
        <v>46078</v>
      </c>
      <c r="B61" s="20" t="inlineStr">
        <is>
          <t>Mercoledì</t>
        </is>
      </c>
      <c r="C61" s="20" t="inlineStr">
        <is>
          <t>Bassa</t>
        </is>
      </c>
      <c r="D61" s="21" t="n">
        <v>0.7</v>
      </c>
      <c r="E61" s="21" t="n">
        <v>0.9</v>
      </c>
      <c r="F61" s="20" t="inlineStr">
        <is>
          <t>-</t>
        </is>
      </c>
      <c r="G61" s="21" t="n">
        <v>1</v>
      </c>
      <c r="H61" s="22">
        <f>$B$3*D61*E61*G61</f>
        <v/>
      </c>
      <c r="I61" s="20" t="n"/>
    </row>
    <row r="62">
      <c r="A62" s="18" t="n">
        <v>46079</v>
      </c>
      <c r="B62" s="20" t="inlineStr">
        <is>
          <t>Giovedì</t>
        </is>
      </c>
      <c r="C62" s="20" t="inlineStr">
        <is>
          <t>Bassa</t>
        </is>
      </c>
      <c r="D62" s="21" t="n">
        <v>0.7</v>
      </c>
      <c r="E62" s="21" t="n">
        <v>0.95</v>
      </c>
      <c r="F62" s="20" t="inlineStr">
        <is>
          <t>-</t>
        </is>
      </c>
      <c r="G62" s="21" t="n">
        <v>1</v>
      </c>
      <c r="H62" s="22">
        <f>$B$3*D62*E62*G62</f>
        <v/>
      </c>
      <c r="I62" s="20" t="n"/>
    </row>
    <row r="63">
      <c r="A63" s="18" t="n">
        <v>46080</v>
      </c>
      <c r="B63" s="19" t="inlineStr">
        <is>
          <t>Venerdì</t>
        </is>
      </c>
      <c r="C63" s="20" t="inlineStr">
        <is>
          <t>Bassa</t>
        </is>
      </c>
      <c r="D63" s="21" t="n">
        <v>0.7</v>
      </c>
      <c r="E63" s="21" t="n">
        <v>1.1</v>
      </c>
      <c r="F63" s="20" t="inlineStr">
        <is>
          <t>-</t>
        </is>
      </c>
      <c r="G63" s="21" t="n">
        <v>1</v>
      </c>
      <c r="H63" s="22">
        <f>$B$3*D63*E63*G63</f>
        <v/>
      </c>
      <c r="I63" s="20" t="n"/>
    </row>
    <row r="64">
      <c r="A64" s="18" t="n">
        <v>46081</v>
      </c>
      <c r="B64" s="19" t="inlineStr">
        <is>
          <t>Sabato</t>
        </is>
      </c>
      <c r="C64" s="20" t="inlineStr">
        <is>
          <t>Bassa</t>
        </is>
      </c>
      <c r="D64" s="21" t="n">
        <v>0.7</v>
      </c>
      <c r="E64" s="21" t="n">
        <v>1.2</v>
      </c>
      <c r="F64" s="20" t="inlineStr">
        <is>
          <t>-</t>
        </is>
      </c>
      <c r="G64" s="21" t="n">
        <v>1</v>
      </c>
      <c r="H64" s="22">
        <f>$B$3*D64*E64*G64</f>
        <v/>
      </c>
      <c r="I64" s="20" t="n"/>
    </row>
    <row r="65">
      <c r="A65" s="18" t="n">
        <v>46082</v>
      </c>
      <c r="B65" s="19" t="inlineStr">
        <is>
          <t>Domenica</t>
        </is>
      </c>
      <c r="C65" s="20" t="inlineStr">
        <is>
          <t>Media</t>
        </is>
      </c>
      <c r="D65" s="21" t="n">
        <v>1</v>
      </c>
      <c r="E65" s="21" t="n">
        <v>1.05</v>
      </c>
      <c r="F65" s="20" t="inlineStr">
        <is>
          <t>-</t>
        </is>
      </c>
      <c r="G65" s="21" t="n">
        <v>1</v>
      </c>
      <c r="H65" s="22">
        <f>$B$3*D65*E65*G65</f>
        <v/>
      </c>
      <c r="I65" s="20" t="n"/>
    </row>
    <row r="66">
      <c r="A66" s="18" t="n">
        <v>46083</v>
      </c>
      <c r="B66" s="20" t="inlineStr">
        <is>
          <t>Lunedì</t>
        </is>
      </c>
      <c r="C66" s="20" t="inlineStr">
        <is>
          <t>Media</t>
        </is>
      </c>
      <c r="D66" s="21" t="n">
        <v>1</v>
      </c>
      <c r="E66" s="21" t="n">
        <v>0.85</v>
      </c>
      <c r="F66" s="20" t="inlineStr">
        <is>
          <t>-</t>
        </is>
      </c>
      <c r="G66" s="21" t="n">
        <v>1</v>
      </c>
      <c r="H66" s="22">
        <f>$B$3*D66*E66*G66</f>
        <v/>
      </c>
      <c r="I66" s="20" t="n"/>
    </row>
    <row r="67">
      <c r="A67" s="18" t="n">
        <v>46084</v>
      </c>
      <c r="B67" s="20" t="inlineStr">
        <is>
          <t>Martedì</t>
        </is>
      </c>
      <c r="C67" s="20" t="inlineStr">
        <is>
          <t>Media</t>
        </is>
      </c>
      <c r="D67" s="21" t="n">
        <v>1</v>
      </c>
      <c r="E67" s="21" t="n">
        <v>0.85</v>
      </c>
      <c r="F67" s="20" t="inlineStr">
        <is>
          <t>-</t>
        </is>
      </c>
      <c r="G67" s="21" t="n">
        <v>1</v>
      </c>
      <c r="H67" s="22">
        <f>$B$3*D67*E67*G67</f>
        <v/>
      </c>
      <c r="I67" s="20" t="n"/>
    </row>
    <row r="68">
      <c r="A68" s="18" t="n">
        <v>46085</v>
      </c>
      <c r="B68" s="20" t="inlineStr">
        <is>
          <t>Mercoledì</t>
        </is>
      </c>
      <c r="C68" s="20" t="inlineStr">
        <is>
          <t>Media</t>
        </is>
      </c>
      <c r="D68" s="21" t="n">
        <v>1</v>
      </c>
      <c r="E68" s="21" t="n">
        <v>0.9</v>
      </c>
      <c r="F68" s="20" t="inlineStr">
        <is>
          <t>-</t>
        </is>
      </c>
      <c r="G68" s="21" t="n">
        <v>1</v>
      </c>
      <c r="H68" s="22">
        <f>$B$3*D68*E68*G68</f>
        <v/>
      </c>
      <c r="I68" s="20" t="n"/>
    </row>
    <row r="69">
      <c r="A69" s="18" t="n">
        <v>46086</v>
      </c>
      <c r="B69" s="20" t="inlineStr">
        <is>
          <t>Giovedì</t>
        </is>
      </c>
      <c r="C69" s="20" t="inlineStr">
        <is>
          <t>Media</t>
        </is>
      </c>
      <c r="D69" s="21" t="n">
        <v>1</v>
      </c>
      <c r="E69" s="21" t="n">
        <v>0.95</v>
      </c>
      <c r="F69" s="20" t="inlineStr">
        <is>
          <t>-</t>
        </is>
      </c>
      <c r="G69" s="21" t="n">
        <v>1</v>
      </c>
      <c r="H69" s="22">
        <f>$B$3*D69*E69*G69</f>
        <v/>
      </c>
      <c r="I69" s="20" t="n"/>
    </row>
    <row r="70">
      <c r="A70" s="18" t="n">
        <v>46087</v>
      </c>
      <c r="B70" s="19" t="inlineStr">
        <is>
          <t>Venerdì</t>
        </is>
      </c>
      <c r="C70" s="20" t="inlineStr">
        <is>
          <t>Media</t>
        </is>
      </c>
      <c r="D70" s="21" t="n">
        <v>1</v>
      </c>
      <c r="E70" s="21" t="n">
        <v>1.1</v>
      </c>
      <c r="F70" s="20" t="inlineStr">
        <is>
          <t>-</t>
        </is>
      </c>
      <c r="G70" s="21" t="n">
        <v>1</v>
      </c>
      <c r="H70" s="22">
        <f>$B$3*D70*E70*G70</f>
        <v/>
      </c>
      <c r="I70" s="20" t="n"/>
    </row>
    <row r="71">
      <c r="A71" s="18" t="n">
        <v>46088</v>
      </c>
      <c r="B71" s="19" t="inlineStr">
        <is>
          <t>Sabato</t>
        </is>
      </c>
      <c r="C71" s="20" t="inlineStr">
        <is>
          <t>Media</t>
        </is>
      </c>
      <c r="D71" s="21" t="n">
        <v>1</v>
      </c>
      <c r="E71" s="21" t="n">
        <v>1.2</v>
      </c>
      <c r="F71" s="20" t="inlineStr">
        <is>
          <t>-</t>
        </is>
      </c>
      <c r="G71" s="21" t="n">
        <v>1</v>
      </c>
      <c r="H71" s="22">
        <f>$B$3*D71*E71*G71</f>
        <v/>
      </c>
      <c r="I71" s="20" t="n"/>
    </row>
    <row r="72">
      <c r="A72" s="18" t="n">
        <v>46089</v>
      </c>
      <c r="B72" s="19" t="inlineStr">
        <is>
          <t>Domenica</t>
        </is>
      </c>
      <c r="C72" s="20" t="inlineStr">
        <is>
          <t>Media</t>
        </is>
      </c>
      <c r="D72" s="21" t="n">
        <v>1</v>
      </c>
      <c r="E72" s="21" t="n">
        <v>1.05</v>
      </c>
      <c r="F72" s="20" t="inlineStr">
        <is>
          <t>-</t>
        </is>
      </c>
      <c r="G72" s="21" t="n">
        <v>1</v>
      </c>
      <c r="H72" s="22">
        <f>$B$3*D72*E72*G72</f>
        <v/>
      </c>
      <c r="I72" s="20" t="n"/>
    </row>
    <row r="73">
      <c r="A73" s="18" t="n">
        <v>46090</v>
      </c>
      <c r="B73" s="20" t="inlineStr">
        <is>
          <t>Lunedì</t>
        </is>
      </c>
      <c r="C73" s="20" t="inlineStr">
        <is>
          <t>Media</t>
        </is>
      </c>
      <c r="D73" s="21" t="n">
        <v>1</v>
      </c>
      <c r="E73" s="21" t="n">
        <v>0.85</v>
      </c>
      <c r="F73" s="20" t="inlineStr">
        <is>
          <t>-</t>
        </is>
      </c>
      <c r="G73" s="21" t="n">
        <v>1</v>
      </c>
      <c r="H73" s="22">
        <f>$B$3*D73*E73*G73</f>
        <v/>
      </c>
      <c r="I73" s="20" t="n"/>
    </row>
    <row r="74">
      <c r="A74" s="18" t="n">
        <v>46091</v>
      </c>
      <c r="B74" s="20" t="inlineStr">
        <is>
          <t>Martedì</t>
        </is>
      </c>
      <c r="C74" s="20" t="inlineStr">
        <is>
          <t>Media</t>
        </is>
      </c>
      <c r="D74" s="21" t="n">
        <v>1</v>
      </c>
      <c r="E74" s="21" t="n">
        <v>0.85</v>
      </c>
      <c r="F74" s="20" t="inlineStr">
        <is>
          <t>-</t>
        </is>
      </c>
      <c r="G74" s="21" t="n">
        <v>1</v>
      </c>
      <c r="H74" s="22">
        <f>$B$3*D74*E74*G74</f>
        <v/>
      </c>
      <c r="I74" s="20" t="n"/>
    </row>
    <row r="75">
      <c r="A75" s="18" t="n">
        <v>46092</v>
      </c>
      <c r="B75" s="20" t="inlineStr">
        <is>
          <t>Mercoledì</t>
        </is>
      </c>
      <c r="C75" s="20" t="inlineStr">
        <is>
          <t>Media</t>
        </is>
      </c>
      <c r="D75" s="21" t="n">
        <v>1</v>
      </c>
      <c r="E75" s="21" t="n">
        <v>0.9</v>
      </c>
      <c r="F75" s="20" t="inlineStr">
        <is>
          <t>-</t>
        </is>
      </c>
      <c r="G75" s="21" t="n">
        <v>1</v>
      </c>
      <c r="H75" s="22">
        <f>$B$3*D75*E75*G75</f>
        <v/>
      </c>
      <c r="I75" s="20" t="n"/>
    </row>
    <row r="76">
      <c r="A76" s="18" t="n">
        <v>46093</v>
      </c>
      <c r="B76" s="20" t="inlineStr">
        <is>
          <t>Giovedì</t>
        </is>
      </c>
      <c r="C76" s="20" t="inlineStr">
        <is>
          <t>Media</t>
        </is>
      </c>
      <c r="D76" s="21" t="n">
        <v>1</v>
      </c>
      <c r="E76" s="21" t="n">
        <v>0.95</v>
      </c>
      <c r="F76" s="20" t="inlineStr">
        <is>
          <t>-</t>
        </is>
      </c>
      <c r="G76" s="21" t="n">
        <v>1</v>
      </c>
      <c r="H76" s="22">
        <f>$B$3*D76*E76*G76</f>
        <v/>
      </c>
      <c r="I76" s="20" t="n"/>
    </row>
    <row r="77">
      <c r="A77" s="18" t="n">
        <v>46094</v>
      </c>
      <c r="B77" s="19" t="inlineStr">
        <is>
          <t>Venerdì</t>
        </is>
      </c>
      <c r="C77" s="20" t="inlineStr">
        <is>
          <t>Media</t>
        </is>
      </c>
      <c r="D77" s="21" t="n">
        <v>1</v>
      </c>
      <c r="E77" s="21" t="n">
        <v>1.1</v>
      </c>
      <c r="F77" s="20" t="inlineStr">
        <is>
          <t>-</t>
        </is>
      </c>
      <c r="G77" s="21" t="n">
        <v>1</v>
      </c>
      <c r="H77" s="22">
        <f>$B$3*D77*E77*G77</f>
        <v/>
      </c>
      <c r="I77" s="20" t="n"/>
    </row>
    <row r="78">
      <c r="A78" s="18" t="n">
        <v>46095</v>
      </c>
      <c r="B78" s="19" t="inlineStr">
        <is>
          <t>Sabato</t>
        </is>
      </c>
      <c r="C78" s="20" t="inlineStr">
        <is>
          <t>Media</t>
        </is>
      </c>
      <c r="D78" s="21" t="n">
        <v>1</v>
      </c>
      <c r="E78" s="21" t="n">
        <v>1.2</v>
      </c>
      <c r="F78" s="20" t="inlineStr">
        <is>
          <t>-</t>
        </is>
      </c>
      <c r="G78" s="21" t="n">
        <v>1</v>
      </c>
      <c r="H78" s="22">
        <f>$B$3*D78*E78*G78</f>
        <v/>
      </c>
      <c r="I78" s="20" t="n"/>
    </row>
    <row r="79">
      <c r="A79" s="18" t="n">
        <v>46096</v>
      </c>
      <c r="B79" s="19" t="inlineStr">
        <is>
          <t>Domenica</t>
        </is>
      </c>
      <c r="C79" s="20" t="inlineStr">
        <is>
          <t>Media</t>
        </is>
      </c>
      <c r="D79" s="21" t="n">
        <v>1</v>
      </c>
      <c r="E79" s="21" t="n">
        <v>1.05</v>
      </c>
      <c r="F79" s="20" t="inlineStr">
        <is>
          <t>-</t>
        </is>
      </c>
      <c r="G79" s="21" t="n">
        <v>1</v>
      </c>
      <c r="H79" s="22">
        <f>$B$3*D79*E79*G79</f>
        <v/>
      </c>
      <c r="I79" s="20" t="n"/>
    </row>
    <row r="80">
      <c r="A80" s="18" t="n">
        <v>46097</v>
      </c>
      <c r="B80" s="20" t="inlineStr">
        <is>
          <t>Lunedì</t>
        </is>
      </c>
      <c r="C80" s="20" t="inlineStr">
        <is>
          <t>Media</t>
        </is>
      </c>
      <c r="D80" s="21" t="n">
        <v>1</v>
      </c>
      <c r="E80" s="21" t="n">
        <v>0.85</v>
      </c>
      <c r="F80" s="20" t="inlineStr">
        <is>
          <t>-</t>
        </is>
      </c>
      <c r="G80" s="21" t="n">
        <v>1</v>
      </c>
      <c r="H80" s="22">
        <f>$B$3*D80*E80*G80</f>
        <v/>
      </c>
      <c r="I80" s="20" t="n"/>
    </row>
    <row r="81">
      <c r="A81" s="18" t="n">
        <v>46098</v>
      </c>
      <c r="B81" s="20" t="inlineStr">
        <is>
          <t>Martedì</t>
        </is>
      </c>
      <c r="C81" s="20" t="inlineStr">
        <is>
          <t>Media</t>
        </is>
      </c>
      <c r="D81" s="21" t="n">
        <v>1</v>
      </c>
      <c r="E81" s="21" t="n">
        <v>0.85</v>
      </c>
      <c r="F81" s="20" t="inlineStr">
        <is>
          <t>-</t>
        </is>
      </c>
      <c r="G81" s="21" t="n">
        <v>1</v>
      </c>
      <c r="H81" s="22">
        <f>$B$3*D81*E81*G81</f>
        <v/>
      </c>
      <c r="I81" s="20" t="n"/>
    </row>
    <row r="82">
      <c r="A82" s="18" t="n">
        <v>46099</v>
      </c>
      <c r="B82" s="20" t="inlineStr">
        <is>
          <t>Mercoledì</t>
        </is>
      </c>
      <c r="C82" s="20" t="inlineStr">
        <is>
          <t>Media</t>
        </is>
      </c>
      <c r="D82" s="21" t="n">
        <v>1</v>
      </c>
      <c r="E82" s="21" t="n">
        <v>0.9</v>
      </c>
      <c r="F82" s="20" t="inlineStr">
        <is>
          <t>-</t>
        </is>
      </c>
      <c r="G82" s="21" t="n">
        <v>1</v>
      </c>
      <c r="H82" s="22">
        <f>$B$3*D82*E82*G82</f>
        <v/>
      </c>
      <c r="I82" s="20" t="n"/>
    </row>
    <row r="83">
      <c r="A83" s="18" t="n">
        <v>46100</v>
      </c>
      <c r="B83" s="20" t="inlineStr">
        <is>
          <t>Giovedì</t>
        </is>
      </c>
      <c r="C83" s="20" t="inlineStr">
        <is>
          <t>Media</t>
        </is>
      </c>
      <c r="D83" s="21" t="n">
        <v>1</v>
      </c>
      <c r="E83" s="21" t="n">
        <v>0.95</v>
      </c>
      <c r="F83" s="20" t="inlineStr">
        <is>
          <t>-</t>
        </is>
      </c>
      <c r="G83" s="21" t="n">
        <v>1</v>
      </c>
      <c r="H83" s="22">
        <f>$B$3*D83*E83*G83</f>
        <v/>
      </c>
      <c r="I83" s="20" t="n"/>
    </row>
    <row r="84">
      <c r="A84" s="18" t="n">
        <v>46101</v>
      </c>
      <c r="B84" s="19" t="inlineStr">
        <is>
          <t>Venerdì</t>
        </is>
      </c>
      <c r="C84" s="20" t="inlineStr">
        <is>
          <t>Media</t>
        </is>
      </c>
      <c r="D84" s="21" t="n">
        <v>1</v>
      </c>
      <c r="E84" s="21" t="n">
        <v>1.1</v>
      </c>
      <c r="F84" s="20" t="inlineStr">
        <is>
          <t>-</t>
        </is>
      </c>
      <c r="G84" s="21" t="n">
        <v>1</v>
      </c>
      <c r="H84" s="22">
        <f>$B$3*D84*E84*G84</f>
        <v/>
      </c>
      <c r="I84" s="20" t="n"/>
    </row>
    <row r="85">
      <c r="A85" s="18" t="n">
        <v>46102</v>
      </c>
      <c r="B85" s="19" t="inlineStr">
        <is>
          <t>Sabato</t>
        </is>
      </c>
      <c r="C85" s="20" t="inlineStr">
        <is>
          <t>Media</t>
        </is>
      </c>
      <c r="D85" s="21" t="n">
        <v>1</v>
      </c>
      <c r="E85" s="21" t="n">
        <v>1.2</v>
      </c>
      <c r="F85" s="20" t="inlineStr">
        <is>
          <t>-</t>
        </is>
      </c>
      <c r="G85" s="21" t="n">
        <v>1</v>
      </c>
      <c r="H85" s="22">
        <f>$B$3*D85*E85*G85</f>
        <v/>
      </c>
      <c r="I85" s="20" t="n"/>
    </row>
    <row r="86">
      <c r="A86" s="18" t="n">
        <v>46103</v>
      </c>
      <c r="B86" s="19" t="inlineStr">
        <is>
          <t>Domenica</t>
        </is>
      </c>
      <c r="C86" s="20" t="inlineStr">
        <is>
          <t>Media</t>
        </is>
      </c>
      <c r="D86" s="21" t="n">
        <v>1</v>
      </c>
      <c r="E86" s="21" t="n">
        <v>1.05</v>
      </c>
      <c r="F86" s="20" t="inlineStr">
        <is>
          <t>-</t>
        </is>
      </c>
      <c r="G86" s="21" t="n">
        <v>1</v>
      </c>
      <c r="H86" s="22">
        <f>$B$3*D86*E86*G86</f>
        <v/>
      </c>
      <c r="I86" s="20" t="n"/>
    </row>
    <row r="87">
      <c r="A87" s="18" t="n">
        <v>46104</v>
      </c>
      <c r="B87" s="20" t="inlineStr">
        <is>
          <t>Lunedì</t>
        </is>
      </c>
      <c r="C87" s="20" t="inlineStr">
        <is>
          <t>Media</t>
        </is>
      </c>
      <c r="D87" s="21" t="n">
        <v>1</v>
      </c>
      <c r="E87" s="21" t="n">
        <v>0.85</v>
      </c>
      <c r="F87" s="20" t="inlineStr">
        <is>
          <t>-</t>
        </is>
      </c>
      <c r="G87" s="21" t="n">
        <v>1</v>
      </c>
      <c r="H87" s="22">
        <f>$B$3*D87*E87*G87</f>
        <v/>
      </c>
      <c r="I87" s="20" t="n"/>
    </row>
    <row r="88">
      <c r="A88" s="18" t="n">
        <v>46105</v>
      </c>
      <c r="B88" s="20" t="inlineStr">
        <is>
          <t>Martedì</t>
        </is>
      </c>
      <c r="C88" s="20" t="inlineStr">
        <is>
          <t>Media</t>
        </is>
      </c>
      <c r="D88" s="21" t="n">
        <v>1</v>
      </c>
      <c r="E88" s="21" t="n">
        <v>0.85</v>
      </c>
      <c r="F88" s="20" t="inlineStr">
        <is>
          <t>-</t>
        </is>
      </c>
      <c r="G88" s="21" t="n">
        <v>1</v>
      </c>
      <c r="H88" s="22">
        <f>$B$3*D88*E88*G88</f>
        <v/>
      </c>
      <c r="I88" s="20" t="n"/>
    </row>
    <row r="89">
      <c r="A89" s="18" t="n">
        <v>46106</v>
      </c>
      <c r="B89" s="20" t="inlineStr">
        <is>
          <t>Mercoledì</t>
        </is>
      </c>
      <c r="C89" s="20" t="inlineStr">
        <is>
          <t>Media</t>
        </is>
      </c>
      <c r="D89" s="21" t="n">
        <v>1</v>
      </c>
      <c r="E89" s="21" t="n">
        <v>0.9</v>
      </c>
      <c r="F89" s="20" t="inlineStr">
        <is>
          <t>-</t>
        </is>
      </c>
      <c r="G89" s="21" t="n">
        <v>1</v>
      </c>
      <c r="H89" s="22">
        <f>$B$3*D89*E89*G89</f>
        <v/>
      </c>
      <c r="I89" s="20" t="n"/>
    </row>
    <row r="90">
      <c r="A90" s="18" t="n">
        <v>46107</v>
      </c>
      <c r="B90" s="20" t="inlineStr">
        <is>
          <t>Giovedì</t>
        </is>
      </c>
      <c r="C90" s="20" t="inlineStr">
        <is>
          <t>Media</t>
        </is>
      </c>
      <c r="D90" s="21" t="n">
        <v>1</v>
      </c>
      <c r="E90" s="21" t="n">
        <v>0.95</v>
      </c>
      <c r="F90" s="20" t="inlineStr">
        <is>
          <t>-</t>
        </is>
      </c>
      <c r="G90" s="21" t="n">
        <v>1</v>
      </c>
      <c r="H90" s="22">
        <f>$B$3*D90*E90*G90</f>
        <v/>
      </c>
      <c r="I90" s="20" t="n"/>
    </row>
    <row r="91">
      <c r="A91" s="18" t="n">
        <v>46108</v>
      </c>
      <c r="B91" s="19" t="inlineStr">
        <is>
          <t>Venerdì</t>
        </is>
      </c>
      <c r="C91" s="20" t="inlineStr">
        <is>
          <t>Media</t>
        </is>
      </c>
      <c r="D91" s="21" t="n">
        <v>1</v>
      </c>
      <c r="E91" s="21" t="n">
        <v>1.1</v>
      </c>
      <c r="F91" s="20" t="inlineStr">
        <is>
          <t>-</t>
        </is>
      </c>
      <c r="G91" s="21" t="n">
        <v>1</v>
      </c>
      <c r="H91" s="22">
        <f>$B$3*D91*E91*G91</f>
        <v/>
      </c>
      <c r="I91" s="20" t="n"/>
    </row>
    <row r="92">
      <c r="A92" s="18" t="n">
        <v>46109</v>
      </c>
      <c r="B92" s="19" t="inlineStr">
        <is>
          <t>Sabato</t>
        </is>
      </c>
      <c r="C92" s="20" t="inlineStr">
        <is>
          <t>Media</t>
        </is>
      </c>
      <c r="D92" s="21" t="n">
        <v>1</v>
      </c>
      <c r="E92" s="21" t="n">
        <v>1.2</v>
      </c>
      <c r="F92" s="20" t="inlineStr">
        <is>
          <t>-</t>
        </is>
      </c>
      <c r="G92" s="21" t="n">
        <v>1</v>
      </c>
      <c r="H92" s="22">
        <f>$B$3*D92*E92*G92</f>
        <v/>
      </c>
      <c r="I92" s="20" t="n"/>
    </row>
    <row r="93">
      <c r="A93" s="18" t="n">
        <v>46110</v>
      </c>
      <c r="B93" s="19" t="inlineStr">
        <is>
          <t>Domenica</t>
        </is>
      </c>
      <c r="C93" s="20" t="inlineStr">
        <is>
          <t>Media</t>
        </is>
      </c>
      <c r="D93" s="21" t="n">
        <v>1</v>
      </c>
      <c r="E93" s="21" t="n">
        <v>1.05</v>
      </c>
      <c r="F93" s="20" t="inlineStr">
        <is>
          <t>-</t>
        </is>
      </c>
      <c r="G93" s="21" t="n">
        <v>1</v>
      </c>
      <c r="H93" s="22">
        <f>$B$3*D93*E93*G93</f>
        <v/>
      </c>
      <c r="I93" s="20" t="n"/>
    </row>
    <row r="94">
      <c r="A94" s="18" t="n">
        <v>46111</v>
      </c>
      <c r="B94" s="20" t="inlineStr">
        <is>
          <t>Lunedì</t>
        </is>
      </c>
      <c r="C94" s="20" t="inlineStr">
        <is>
          <t>Media</t>
        </is>
      </c>
      <c r="D94" s="21" t="n">
        <v>1</v>
      </c>
      <c r="E94" s="21" t="n">
        <v>0.85</v>
      </c>
      <c r="F94" s="20" t="inlineStr">
        <is>
          <t>-</t>
        </is>
      </c>
      <c r="G94" s="21" t="n">
        <v>1</v>
      </c>
      <c r="H94" s="22">
        <f>$B$3*D94*E94*G94</f>
        <v/>
      </c>
      <c r="I94" s="20" t="n"/>
    </row>
    <row r="95">
      <c r="A95" s="18" t="n">
        <v>46112</v>
      </c>
      <c r="B95" s="20" t="inlineStr">
        <is>
          <t>Martedì</t>
        </is>
      </c>
      <c r="C95" s="20" t="inlineStr">
        <is>
          <t>Media</t>
        </is>
      </c>
      <c r="D95" s="21" t="n">
        <v>1</v>
      </c>
      <c r="E95" s="21" t="n">
        <v>0.85</v>
      </c>
      <c r="F95" s="20" t="inlineStr">
        <is>
          <t>-</t>
        </is>
      </c>
      <c r="G95" s="21" t="n">
        <v>1</v>
      </c>
      <c r="H95" s="22">
        <f>$B$3*D95*E95*G95</f>
        <v/>
      </c>
      <c r="I95" s="20" t="n"/>
    </row>
    <row r="96">
      <c r="A96" s="18" t="n">
        <v>46113</v>
      </c>
      <c r="B96" s="20" t="inlineStr">
        <is>
          <t>Mercoledì</t>
        </is>
      </c>
      <c r="C96" s="20" t="inlineStr">
        <is>
          <t>Media</t>
        </is>
      </c>
      <c r="D96" s="21" t="n">
        <v>1</v>
      </c>
      <c r="E96" s="21" t="n">
        <v>0.9</v>
      </c>
      <c r="F96" s="20" t="inlineStr">
        <is>
          <t>-</t>
        </is>
      </c>
      <c r="G96" s="21" t="n">
        <v>1</v>
      </c>
      <c r="H96" s="22">
        <f>$B$3*D96*E96*G96</f>
        <v/>
      </c>
      <c r="I96" s="20" t="n"/>
    </row>
    <row r="97">
      <c r="A97" s="18" t="n">
        <v>46114</v>
      </c>
      <c r="B97" s="20" t="inlineStr">
        <is>
          <t>Giovedì</t>
        </is>
      </c>
      <c r="C97" s="20" t="inlineStr">
        <is>
          <t>Media</t>
        </is>
      </c>
      <c r="D97" s="21" t="n">
        <v>1</v>
      </c>
      <c r="E97" s="21" t="n">
        <v>0.95</v>
      </c>
      <c r="F97" s="20" t="inlineStr">
        <is>
          <t>-</t>
        </is>
      </c>
      <c r="G97" s="21" t="n">
        <v>1</v>
      </c>
      <c r="H97" s="22">
        <f>$B$3*D97*E97*G97</f>
        <v/>
      </c>
      <c r="I97" s="20" t="n"/>
    </row>
    <row r="98">
      <c r="A98" s="18" t="n">
        <v>46115</v>
      </c>
      <c r="B98" s="19" t="inlineStr">
        <is>
          <t>Venerdì</t>
        </is>
      </c>
      <c r="C98" s="20" t="inlineStr">
        <is>
          <t>Media</t>
        </is>
      </c>
      <c r="D98" s="21" t="n">
        <v>1</v>
      </c>
      <c r="E98" s="21" t="n">
        <v>1.1</v>
      </c>
      <c r="F98" s="20" t="inlineStr">
        <is>
          <t>-</t>
        </is>
      </c>
      <c r="G98" s="21" t="n">
        <v>1</v>
      </c>
      <c r="H98" s="22">
        <f>$B$3*D98*E98*G98</f>
        <v/>
      </c>
      <c r="I98" s="20" t="n"/>
    </row>
    <row r="99">
      <c r="A99" s="18" t="n">
        <v>46116</v>
      </c>
      <c r="B99" s="19" t="inlineStr">
        <is>
          <t>Sabato</t>
        </is>
      </c>
      <c r="C99" s="20" t="inlineStr">
        <is>
          <t>Media</t>
        </is>
      </c>
      <c r="D99" s="21" t="n">
        <v>1</v>
      </c>
      <c r="E99" s="21" t="n">
        <v>1.2</v>
      </c>
      <c r="F99" s="20" t="inlineStr">
        <is>
          <t>-</t>
        </is>
      </c>
      <c r="G99" s="21" t="n">
        <v>1</v>
      </c>
      <c r="H99" s="22">
        <f>$B$3*D99*E99*G99</f>
        <v/>
      </c>
      <c r="I99" s="20" t="n"/>
    </row>
    <row r="100">
      <c r="A100" s="14" t="n">
        <v>46117</v>
      </c>
      <c r="B100" s="15" t="inlineStr">
        <is>
          <t>Domenica</t>
        </is>
      </c>
      <c r="C100" s="15" t="inlineStr">
        <is>
          <t>Media</t>
        </is>
      </c>
      <c r="D100" s="16" t="n">
        <v>1</v>
      </c>
      <c r="E100" s="16" t="n">
        <v>1.05</v>
      </c>
      <c r="F100" s="15" t="inlineStr">
        <is>
          <t>Pasqua</t>
        </is>
      </c>
      <c r="G100" s="16" t="n">
        <v>1.5</v>
      </c>
      <c r="H100" s="17">
        <f>$B$3*D100*E100*G100</f>
        <v/>
      </c>
      <c r="I100" s="15" t="n"/>
    </row>
    <row r="101">
      <c r="A101" s="14" t="n">
        <v>46118</v>
      </c>
      <c r="B101" s="15" t="inlineStr">
        <is>
          <t>Lunedì</t>
        </is>
      </c>
      <c r="C101" s="15" t="inlineStr">
        <is>
          <t>Media</t>
        </is>
      </c>
      <c r="D101" s="16" t="n">
        <v>1</v>
      </c>
      <c r="E101" s="16" t="n">
        <v>0.85</v>
      </c>
      <c r="F101" s="15" t="inlineStr">
        <is>
          <t>Pasquetta</t>
        </is>
      </c>
      <c r="G101" s="16" t="n">
        <v>1.5</v>
      </c>
      <c r="H101" s="17">
        <f>$B$3*D101*E101*G101</f>
        <v/>
      </c>
      <c r="I101" s="15" t="n"/>
    </row>
    <row r="102">
      <c r="A102" s="18" t="n">
        <v>46119</v>
      </c>
      <c r="B102" s="20" t="inlineStr">
        <is>
          <t>Martedì</t>
        </is>
      </c>
      <c r="C102" s="20" t="inlineStr">
        <is>
          <t>Media</t>
        </is>
      </c>
      <c r="D102" s="21" t="n">
        <v>1</v>
      </c>
      <c r="E102" s="21" t="n">
        <v>0.85</v>
      </c>
      <c r="F102" s="20" t="inlineStr">
        <is>
          <t>-</t>
        </is>
      </c>
      <c r="G102" s="21" t="n">
        <v>1</v>
      </c>
      <c r="H102" s="22">
        <f>$B$3*D102*E102*G102</f>
        <v/>
      </c>
      <c r="I102" s="20" t="n"/>
    </row>
    <row r="103">
      <c r="A103" s="18" t="n">
        <v>46120</v>
      </c>
      <c r="B103" s="20" t="inlineStr">
        <is>
          <t>Mercoledì</t>
        </is>
      </c>
      <c r="C103" s="20" t="inlineStr">
        <is>
          <t>Media</t>
        </is>
      </c>
      <c r="D103" s="21" t="n">
        <v>1</v>
      </c>
      <c r="E103" s="21" t="n">
        <v>0.9</v>
      </c>
      <c r="F103" s="20" t="inlineStr">
        <is>
          <t>-</t>
        </is>
      </c>
      <c r="G103" s="21" t="n">
        <v>1</v>
      </c>
      <c r="H103" s="22">
        <f>$B$3*D103*E103*G103</f>
        <v/>
      </c>
      <c r="I103" s="20" t="n"/>
    </row>
    <row r="104">
      <c r="A104" s="18" t="n">
        <v>46121</v>
      </c>
      <c r="B104" s="20" t="inlineStr">
        <is>
          <t>Giovedì</t>
        </is>
      </c>
      <c r="C104" s="20" t="inlineStr">
        <is>
          <t>Media</t>
        </is>
      </c>
      <c r="D104" s="21" t="n">
        <v>1</v>
      </c>
      <c r="E104" s="21" t="n">
        <v>0.95</v>
      </c>
      <c r="F104" s="20" t="inlineStr">
        <is>
          <t>-</t>
        </is>
      </c>
      <c r="G104" s="21" t="n">
        <v>1</v>
      </c>
      <c r="H104" s="22">
        <f>$B$3*D104*E104*G104</f>
        <v/>
      </c>
      <c r="I104" s="20" t="n"/>
    </row>
    <row r="105">
      <c r="A105" s="18" t="n">
        <v>46122</v>
      </c>
      <c r="B105" s="19" t="inlineStr">
        <is>
          <t>Venerdì</t>
        </is>
      </c>
      <c r="C105" s="20" t="inlineStr">
        <is>
          <t>Media</t>
        </is>
      </c>
      <c r="D105" s="21" t="n">
        <v>1</v>
      </c>
      <c r="E105" s="21" t="n">
        <v>1.1</v>
      </c>
      <c r="F105" s="20" t="inlineStr">
        <is>
          <t>-</t>
        </is>
      </c>
      <c r="G105" s="21" t="n">
        <v>1</v>
      </c>
      <c r="H105" s="22">
        <f>$B$3*D105*E105*G105</f>
        <v/>
      </c>
      <c r="I105" s="20" t="n"/>
    </row>
    <row r="106">
      <c r="A106" s="18" t="n">
        <v>46123</v>
      </c>
      <c r="B106" s="19" t="inlineStr">
        <is>
          <t>Sabato</t>
        </is>
      </c>
      <c r="C106" s="20" t="inlineStr">
        <is>
          <t>Media</t>
        </is>
      </c>
      <c r="D106" s="21" t="n">
        <v>1</v>
      </c>
      <c r="E106" s="21" t="n">
        <v>1.2</v>
      </c>
      <c r="F106" s="20" t="inlineStr">
        <is>
          <t>-</t>
        </is>
      </c>
      <c r="G106" s="21" t="n">
        <v>1</v>
      </c>
      <c r="H106" s="22">
        <f>$B$3*D106*E106*G106</f>
        <v/>
      </c>
      <c r="I106" s="20" t="n"/>
    </row>
    <row r="107">
      <c r="A107" s="18" t="n">
        <v>46124</v>
      </c>
      <c r="B107" s="19" t="inlineStr">
        <is>
          <t>Domenica</t>
        </is>
      </c>
      <c r="C107" s="20" t="inlineStr">
        <is>
          <t>Media</t>
        </is>
      </c>
      <c r="D107" s="21" t="n">
        <v>1</v>
      </c>
      <c r="E107" s="21" t="n">
        <v>1.05</v>
      </c>
      <c r="F107" s="20" t="inlineStr">
        <is>
          <t>-</t>
        </is>
      </c>
      <c r="G107" s="21" t="n">
        <v>1</v>
      </c>
      <c r="H107" s="22">
        <f>$B$3*D107*E107*G107</f>
        <v/>
      </c>
      <c r="I107" s="20" t="n"/>
    </row>
    <row r="108">
      <c r="A108" s="18" t="n">
        <v>46125</v>
      </c>
      <c r="B108" s="20" t="inlineStr">
        <is>
          <t>Lunedì</t>
        </is>
      </c>
      <c r="C108" s="20" t="inlineStr">
        <is>
          <t>Media</t>
        </is>
      </c>
      <c r="D108" s="21" t="n">
        <v>1</v>
      </c>
      <c r="E108" s="21" t="n">
        <v>0.85</v>
      </c>
      <c r="F108" s="20" t="inlineStr">
        <is>
          <t>-</t>
        </is>
      </c>
      <c r="G108" s="21" t="n">
        <v>1</v>
      </c>
      <c r="H108" s="22">
        <f>$B$3*D108*E108*G108</f>
        <v/>
      </c>
      <c r="I108" s="20" t="n"/>
    </row>
    <row r="109">
      <c r="A109" s="18" t="n">
        <v>46126</v>
      </c>
      <c r="B109" s="20" t="inlineStr">
        <is>
          <t>Martedì</t>
        </is>
      </c>
      <c r="C109" s="20" t="inlineStr">
        <is>
          <t>Media</t>
        </is>
      </c>
      <c r="D109" s="21" t="n">
        <v>1</v>
      </c>
      <c r="E109" s="21" t="n">
        <v>0.85</v>
      </c>
      <c r="F109" s="20" t="inlineStr">
        <is>
          <t>-</t>
        </is>
      </c>
      <c r="G109" s="21" t="n">
        <v>1</v>
      </c>
      <c r="H109" s="22">
        <f>$B$3*D109*E109*G109</f>
        <v/>
      </c>
      <c r="I109" s="20" t="n"/>
    </row>
    <row r="110">
      <c r="A110" s="18" t="n">
        <v>46127</v>
      </c>
      <c r="B110" s="20" t="inlineStr">
        <is>
          <t>Mercoledì</t>
        </is>
      </c>
      <c r="C110" s="20" t="inlineStr">
        <is>
          <t>Media</t>
        </is>
      </c>
      <c r="D110" s="21" t="n">
        <v>1</v>
      </c>
      <c r="E110" s="21" t="n">
        <v>0.9</v>
      </c>
      <c r="F110" s="20" t="inlineStr">
        <is>
          <t>-</t>
        </is>
      </c>
      <c r="G110" s="21" t="n">
        <v>1</v>
      </c>
      <c r="H110" s="22">
        <f>$B$3*D110*E110*G110</f>
        <v/>
      </c>
      <c r="I110" s="20" t="n"/>
    </row>
    <row r="111">
      <c r="A111" s="18" t="n">
        <v>46128</v>
      </c>
      <c r="B111" s="20" t="inlineStr">
        <is>
          <t>Giovedì</t>
        </is>
      </c>
      <c r="C111" s="20" t="inlineStr">
        <is>
          <t>Media</t>
        </is>
      </c>
      <c r="D111" s="21" t="n">
        <v>1</v>
      </c>
      <c r="E111" s="21" t="n">
        <v>0.95</v>
      </c>
      <c r="F111" s="20" t="inlineStr">
        <is>
          <t>-</t>
        </is>
      </c>
      <c r="G111" s="21" t="n">
        <v>1</v>
      </c>
      <c r="H111" s="22">
        <f>$B$3*D111*E111*G111</f>
        <v/>
      </c>
      <c r="I111" s="20" t="n"/>
    </row>
    <row r="112">
      <c r="A112" s="18" t="n">
        <v>46129</v>
      </c>
      <c r="B112" s="19" t="inlineStr">
        <is>
          <t>Venerdì</t>
        </is>
      </c>
      <c r="C112" s="20" t="inlineStr">
        <is>
          <t>Media</t>
        </is>
      </c>
      <c r="D112" s="21" t="n">
        <v>1</v>
      </c>
      <c r="E112" s="21" t="n">
        <v>1.1</v>
      </c>
      <c r="F112" s="20" t="inlineStr">
        <is>
          <t>-</t>
        </is>
      </c>
      <c r="G112" s="21" t="n">
        <v>1</v>
      </c>
      <c r="H112" s="22">
        <f>$B$3*D112*E112*G112</f>
        <v/>
      </c>
      <c r="I112" s="20" t="n"/>
    </row>
    <row r="113">
      <c r="A113" s="18" t="n">
        <v>46130</v>
      </c>
      <c r="B113" s="19" t="inlineStr">
        <is>
          <t>Sabato</t>
        </is>
      </c>
      <c r="C113" s="20" t="inlineStr">
        <is>
          <t>Media</t>
        </is>
      </c>
      <c r="D113" s="21" t="n">
        <v>1</v>
      </c>
      <c r="E113" s="21" t="n">
        <v>1.2</v>
      </c>
      <c r="F113" s="20" t="inlineStr">
        <is>
          <t>-</t>
        </is>
      </c>
      <c r="G113" s="21" t="n">
        <v>1</v>
      </c>
      <c r="H113" s="22">
        <f>$B$3*D113*E113*G113</f>
        <v/>
      </c>
      <c r="I113" s="20" t="n"/>
    </row>
    <row r="114">
      <c r="A114" s="18" t="n">
        <v>46131</v>
      </c>
      <c r="B114" s="19" t="inlineStr">
        <is>
          <t>Domenica</t>
        </is>
      </c>
      <c r="C114" s="20" t="inlineStr">
        <is>
          <t>Media</t>
        </is>
      </c>
      <c r="D114" s="21" t="n">
        <v>1</v>
      </c>
      <c r="E114" s="21" t="n">
        <v>1.05</v>
      </c>
      <c r="F114" s="20" t="inlineStr">
        <is>
          <t>-</t>
        </is>
      </c>
      <c r="G114" s="21" t="n">
        <v>1</v>
      </c>
      <c r="H114" s="22">
        <f>$B$3*D114*E114*G114</f>
        <v/>
      </c>
      <c r="I114" s="20" t="n"/>
    </row>
    <row r="115">
      <c r="A115" s="18" t="n">
        <v>46132</v>
      </c>
      <c r="B115" s="20" t="inlineStr">
        <is>
          <t>Lunedì</t>
        </is>
      </c>
      <c r="C115" s="20" t="inlineStr">
        <is>
          <t>Media</t>
        </is>
      </c>
      <c r="D115" s="21" t="n">
        <v>1</v>
      </c>
      <c r="E115" s="21" t="n">
        <v>0.85</v>
      </c>
      <c r="F115" s="20" t="inlineStr">
        <is>
          <t>-</t>
        </is>
      </c>
      <c r="G115" s="21" t="n">
        <v>1</v>
      </c>
      <c r="H115" s="22">
        <f>$B$3*D115*E115*G115</f>
        <v/>
      </c>
      <c r="I115" s="20" t="n"/>
    </row>
    <row r="116">
      <c r="A116" s="18" t="n">
        <v>46133</v>
      </c>
      <c r="B116" s="20" t="inlineStr">
        <is>
          <t>Martedì</t>
        </is>
      </c>
      <c r="C116" s="20" t="inlineStr">
        <is>
          <t>Media</t>
        </is>
      </c>
      <c r="D116" s="21" t="n">
        <v>1</v>
      </c>
      <c r="E116" s="21" t="n">
        <v>0.85</v>
      </c>
      <c r="F116" s="20" t="inlineStr">
        <is>
          <t>-</t>
        </is>
      </c>
      <c r="G116" s="21" t="n">
        <v>1</v>
      </c>
      <c r="H116" s="22">
        <f>$B$3*D116*E116*G116</f>
        <v/>
      </c>
      <c r="I116" s="20" t="n"/>
    </row>
    <row r="117">
      <c r="A117" s="18" t="n">
        <v>46134</v>
      </c>
      <c r="B117" s="20" t="inlineStr">
        <is>
          <t>Mercoledì</t>
        </is>
      </c>
      <c r="C117" s="20" t="inlineStr">
        <is>
          <t>Media</t>
        </is>
      </c>
      <c r="D117" s="21" t="n">
        <v>1</v>
      </c>
      <c r="E117" s="21" t="n">
        <v>0.9</v>
      </c>
      <c r="F117" s="20" t="inlineStr">
        <is>
          <t>-</t>
        </is>
      </c>
      <c r="G117" s="21" t="n">
        <v>1</v>
      </c>
      <c r="H117" s="22">
        <f>$B$3*D117*E117*G117</f>
        <v/>
      </c>
      <c r="I117" s="20" t="n"/>
    </row>
    <row r="118">
      <c r="A118" s="18" t="n">
        <v>46135</v>
      </c>
      <c r="B118" s="20" t="inlineStr">
        <is>
          <t>Giovedì</t>
        </is>
      </c>
      <c r="C118" s="20" t="inlineStr">
        <is>
          <t>Media</t>
        </is>
      </c>
      <c r="D118" s="21" t="n">
        <v>1</v>
      </c>
      <c r="E118" s="21" t="n">
        <v>0.95</v>
      </c>
      <c r="F118" s="20" t="inlineStr">
        <is>
          <t>-</t>
        </is>
      </c>
      <c r="G118" s="21" t="n">
        <v>1</v>
      </c>
      <c r="H118" s="22">
        <f>$B$3*D118*E118*G118</f>
        <v/>
      </c>
      <c r="I118" s="20" t="n"/>
    </row>
    <row r="119">
      <c r="A119" s="18" t="n">
        <v>46136</v>
      </c>
      <c r="B119" s="19" t="inlineStr">
        <is>
          <t>Venerdì</t>
        </is>
      </c>
      <c r="C119" s="20" t="inlineStr">
        <is>
          <t>Media</t>
        </is>
      </c>
      <c r="D119" s="21" t="n">
        <v>1</v>
      </c>
      <c r="E119" s="21" t="n">
        <v>1.1</v>
      </c>
      <c r="F119" s="20" t="inlineStr">
        <is>
          <t>-</t>
        </is>
      </c>
      <c r="G119" s="21" t="n">
        <v>1</v>
      </c>
      <c r="H119" s="22">
        <f>$B$3*D119*E119*G119</f>
        <v/>
      </c>
      <c r="I119" s="20" t="n"/>
    </row>
    <row r="120">
      <c r="A120" s="14" t="n">
        <v>46137</v>
      </c>
      <c r="B120" s="15" t="inlineStr">
        <is>
          <t>Sabato</t>
        </is>
      </c>
      <c r="C120" s="15" t="inlineStr">
        <is>
          <t>Media</t>
        </is>
      </c>
      <c r="D120" s="16" t="n">
        <v>1</v>
      </c>
      <c r="E120" s="16" t="n">
        <v>1.2</v>
      </c>
      <c r="F120" s="15" t="inlineStr">
        <is>
          <t>Liberazione</t>
        </is>
      </c>
      <c r="G120" s="16" t="n">
        <v>1.3</v>
      </c>
      <c r="H120" s="17">
        <f>$B$3*D120*E120*G120</f>
        <v/>
      </c>
      <c r="I120" s="15" t="n"/>
    </row>
    <row r="121">
      <c r="A121" s="18" t="n">
        <v>46138</v>
      </c>
      <c r="B121" s="19" t="inlineStr">
        <is>
          <t>Domenica</t>
        </is>
      </c>
      <c r="C121" s="20" t="inlineStr">
        <is>
          <t>Media</t>
        </is>
      </c>
      <c r="D121" s="21" t="n">
        <v>1</v>
      </c>
      <c r="E121" s="21" t="n">
        <v>1.05</v>
      </c>
      <c r="F121" s="20" t="inlineStr">
        <is>
          <t>-</t>
        </is>
      </c>
      <c r="G121" s="21" t="n">
        <v>1</v>
      </c>
      <c r="H121" s="22">
        <f>$B$3*D121*E121*G121</f>
        <v/>
      </c>
      <c r="I121" s="20" t="n"/>
    </row>
    <row r="122">
      <c r="A122" s="18" t="n">
        <v>46139</v>
      </c>
      <c r="B122" s="20" t="inlineStr">
        <is>
          <t>Lunedì</t>
        </is>
      </c>
      <c r="C122" s="20" t="inlineStr">
        <is>
          <t>Media</t>
        </is>
      </c>
      <c r="D122" s="21" t="n">
        <v>1</v>
      </c>
      <c r="E122" s="21" t="n">
        <v>0.85</v>
      </c>
      <c r="F122" s="20" t="inlineStr">
        <is>
          <t>-</t>
        </is>
      </c>
      <c r="G122" s="21" t="n">
        <v>1</v>
      </c>
      <c r="H122" s="22">
        <f>$B$3*D122*E122*G122</f>
        <v/>
      </c>
      <c r="I122" s="20" t="n"/>
    </row>
    <row r="123">
      <c r="A123" s="18" t="n">
        <v>46140</v>
      </c>
      <c r="B123" s="20" t="inlineStr">
        <is>
          <t>Martedì</t>
        </is>
      </c>
      <c r="C123" s="20" t="inlineStr">
        <is>
          <t>Media</t>
        </is>
      </c>
      <c r="D123" s="21" t="n">
        <v>1</v>
      </c>
      <c r="E123" s="21" t="n">
        <v>0.85</v>
      </c>
      <c r="F123" s="20" t="inlineStr">
        <is>
          <t>-</t>
        </is>
      </c>
      <c r="G123" s="21" t="n">
        <v>1</v>
      </c>
      <c r="H123" s="22">
        <f>$B$3*D123*E123*G123</f>
        <v/>
      </c>
      <c r="I123" s="20" t="n"/>
    </row>
    <row r="124">
      <c r="A124" s="18" t="n">
        <v>46141</v>
      </c>
      <c r="B124" s="20" t="inlineStr">
        <is>
          <t>Mercoledì</t>
        </is>
      </c>
      <c r="C124" s="20" t="inlineStr">
        <is>
          <t>Media</t>
        </is>
      </c>
      <c r="D124" s="21" t="n">
        <v>1</v>
      </c>
      <c r="E124" s="21" t="n">
        <v>0.9</v>
      </c>
      <c r="F124" s="20" t="inlineStr">
        <is>
          <t>-</t>
        </is>
      </c>
      <c r="G124" s="21" t="n">
        <v>1</v>
      </c>
      <c r="H124" s="22">
        <f>$B$3*D124*E124*G124</f>
        <v/>
      </c>
      <c r="I124" s="20" t="n"/>
    </row>
    <row r="125">
      <c r="A125" s="18" t="n">
        <v>46142</v>
      </c>
      <c r="B125" s="20" t="inlineStr">
        <is>
          <t>Giovedì</t>
        </is>
      </c>
      <c r="C125" s="20" t="inlineStr">
        <is>
          <t>Media</t>
        </is>
      </c>
      <c r="D125" s="21" t="n">
        <v>1</v>
      </c>
      <c r="E125" s="21" t="n">
        <v>0.95</v>
      </c>
      <c r="F125" s="20" t="inlineStr">
        <is>
          <t>-</t>
        </is>
      </c>
      <c r="G125" s="21" t="n">
        <v>1</v>
      </c>
      <c r="H125" s="22">
        <f>$B$3*D125*E125*G125</f>
        <v/>
      </c>
      <c r="I125" s="20" t="n"/>
    </row>
    <row r="126">
      <c r="A126" s="14" t="n">
        <v>46143</v>
      </c>
      <c r="B126" s="15" t="inlineStr">
        <is>
          <t>Venerdì</t>
        </is>
      </c>
      <c r="C126" s="15" t="inlineStr">
        <is>
          <t>Media</t>
        </is>
      </c>
      <c r="D126" s="16" t="n">
        <v>1</v>
      </c>
      <c r="E126" s="16" t="n">
        <v>1.1</v>
      </c>
      <c r="F126" s="15" t="inlineStr">
        <is>
          <t>Festa Lavoro + Sant'Efisio</t>
        </is>
      </c>
      <c r="G126" s="16" t="n">
        <v>1.8</v>
      </c>
      <c r="H126" s="17">
        <f>$B$3*D126*E126*G126</f>
        <v/>
      </c>
      <c r="I126" s="15" t="n"/>
    </row>
    <row r="127">
      <c r="A127" s="18" t="n">
        <v>46144</v>
      </c>
      <c r="B127" s="19" t="inlineStr">
        <is>
          <t>Sabato</t>
        </is>
      </c>
      <c r="C127" s="20" t="inlineStr">
        <is>
          <t>Media</t>
        </is>
      </c>
      <c r="D127" s="21" t="n">
        <v>1</v>
      </c>
      <c r="E127" s="21" t="n">
        <v>1.2</v>
      </c>
      <c r="F127" s="20" t="inlineStr">
        <is>
          <t>-</t>
        </is>
      </c>
      <c r="G127" s="21" t="n">
        <v>1</v>
      </c>
      <c r="H127" s="22">
        <f>$B$3*D127*E127*G127</f>
        <v/>
      </c>
      <c r="I127" s="20" t="n"/>
    </row>
    <row r="128">
      <c r="A128" s="18" t="n">
        <v>46145</v>
      </c>
      <c r="B128" s="19" t="inlineStr">
        <is>
          <t>Domenica</t>
        </is>
      </c>
      <c r="C128" s="20" t="inlineStr">
        <is>
          <t>Media</t>
        </is>
      </c>
      <c r="D128" s="21" t="n">
        <v>1</v>
      </c>
      <c r="E128" s="21" t="n">
        <v>1.05</v>
      </c>
      <c r="F128" s="20" t="inlineStr">
        <is>
          <t>-</t>
        </is>
      </c>
      <c r="G128" s="21" t="n">
        <v>1</v>
      </c>
      <c r="H128" s="22">
        <f>$B$3*D128*E128*G128</f>
        <v/>
      </c>
      <c r="I128" s="20" t="n"/>
    </row>
    <row r="129">
      <c r="A129" s="14" t="n">
        <v>46146</v>
      </c>
      <c r="B129" s="15" t="inlineStr">
        <is>
          <t>Lunedì</t>
        </is>
      </c>
      <c r="C129" s="15" t="inlineStr">
        <is>
          <t>Media</t>
        </is>
      </c>
      <c r="D129" s="16" t="n">
        <v>1</v>
      </c>
      <c r="E129" s="16" t="n">
        <v>0.85</v>
      </c>
      <c r="F129" s="15" t="inlineStr">
        <is>
          <t>Sant'Efisio (rientro)</t>
        </is>
      </c>
      <c r="G129" s="16" t="n">
        <v>1.6</v>
      </c>
      <c r="H129" s="17">
        <f>$B$3*D129*E129*G129</f>
        <v/>
      </c>
      <c r="I129" s="15" t="n"/>
    </row>
    <row r="130">
      <c r="A130" s="18" t="n">
        <v>46147</v>
      </c>
      <c r="B130" s="20" t="inlineStr">
        <is>
          <t>Martedì</t>
        </is>
      </c>
      <c r="C130" s="20" t="inlineStr">
        <is>
          <t>Media</t>
        </is>
      </c>
      <c r="D130" s="21" t="n">
        <v>1</v>
      </c>
      <c r="E130" s="21" t="n">
        <v>0.85</v>
      </c>
      <c r="F130" s="20" t="inlineStr">
        <is>
          <t>-</t>
        </is>
      </c>
      <c r="G130" s="21" t="n">
        <v>1</v>
      </c>
      <c r="H130" s="22">
        <f>$B$3*D130*E130*G130</f>
        <v/>
      </c>
      <c r="I130" s="20" t="n"/>
    </row>
    <row r="131">
      <c r="A131" s="18" t="n">
        <v>46148</v>
      </c>
      <c r="B131" s="20" t="inlineStr">
        <is>
          <t>Mercoledì</t>
        </is>
      </c>
      <c r="C131" s="20" t="inlineStr">
        <is>
          <t>Media</t>
        </is>
      </c>
      <c r="D131" s="21" t="n">
        <v>1</v>
      </c>
      <c r="E131" s="21" t="n">
        <v>0.9</v>
      </c>
      <c r="F131" s="20" t="inlineStr">
        <is>
          <t>-</t>
        </is>
      </c>
      <c r="G131" s="21" t="n">
        <v>1</v>
      </c>
      <c r="H131" s="22">
        <f>$B$3*D131*E131*G131</f>
        <v/>
      </c>
      <c r="I131" s="20" t="n"/>
    </row>
    <row r="132">
      <c r="A132" s="18" t="n">
        <v>46149</v>
      </c>
      <c r="B132" s="20" t="inlineStr">
        <is>
          <t>Giovedì</t>
        </is>
      </c>
      <c r="C132" s="20" t="inlineStr">
        <is>
          <t>Media</t>
        </is>
      </c>
      <c r="D132" s="21" t="n">
        <v>1</v>
      </c>
      <c r="E132" s="21" t="n">
        <v>0.95</v>
      </c>
      <c r="F132" s="20" t="inlineStr">
        <is>
          <t>-</t>
        </is>
      </c>
      <c r="G132" s="21" t="n">
        <v>1</v>
      </c>
      <c r="H132" s="22">
        <f>$B$3*D132*E132*G132</f>
        <v/>
      </c>
      <c r="I132" s="20" t="n"/>
    </row>
    <row r="133">
      <c r="A133" s="18" t="n">
        <v>46150</v>
      </c>
      <c r="B133" s="19" t="inlineStr">
        <is>
          <t>Venerdì</t>
        </is>
      </c>
      <c r="C133" s="20" t="inlineStr">
        <is>
          <t>Media</t>
        </is>
      </c>
      <c r="D133" s="21" t="n">
        <v>1</v>
      </c>
      <c r="E133" s="21" t="n">
        <v>1.1</v>
      </c>
      <c r="F133" s="20" t="inlineStr">
        <is>
          <t>-</t>
        </is>
      </c>
      <c r="G133" s="21" t="n">
        <v>1</v>
      </c>
      <c r="H133" s="22">
        <f>$B$3*D133*E133*G133</f>
        <v/>
      </c>
      <c r="I133" s="20" t="n"/>
    </row>
    <row r="134">
      <c r="A134" s="18" t="n">
        <v>46151</v>
      </c>
      <c r="B134" s="19" t="inlineStr">
        <is>
          <t>Sabato</t>
        </is>
      </c>
      <c r="C134" s="20" t="inlineStr">
        <is>
          <t>Media</t>
        </is>
      </c>
      <c r="D134" s="21" t="n">
        <v>1</v>
      </c>
      <c r="E134" s="21" t="n">
        <v>1.2</v>
      </c>
      <c r="F134" s="20" t="inlineStr">
        <is>
          <t>-</t>
        </is>
      </c>
      <c r="G134" s="21" t="n">
        <v>1</v>
      </c>
      <c r="H134" s="22">
        <f>$B$3*D134*E134*G134</f>
        <v/>
      </c>
      <c r="I134" s="20" t="n"/>
    </row>
    <row r="135">
      <c r="A135" s="18" t="n">
        <v>46152</v>
      </c>
      <c r="B135" s="19" t="inlineStr">
        <is>
          <t>Domenica</t>
        </is>
      </c>
      <c r="C135" s="20" t="inlineStr">
        <is>
          <t>Media</t>
        </is>
      </c>
      <c r="D135" s="21" t="n">
        <v>1</v>
      </c>
      <c r="E135" s="21" t="n">
        <v>1.05</v>
      </c>
      <c r="F135" s="20" t="inlineStr">
        <is>
          <t>-</t>
        </is>
      </c>
      <c r="G135" s="21" t="n">
        <v>1</v>
      </c>
      <c r="H135" s="22">
        <f>$B$3*D135*E135*G135</f>
        <v/>
      </c>
      <c r="I135" s="20" t="n"/>
    </row>
    <row r="136">
      <c r="A136" s="18" t="n">
        <v>46153</v>
      </c>
      <c r="B136" s="20" t="inlineStr">
        <is>
          <t>Lunedì</t>
        </is>
      </c>
      <c r="C136" s="20" t="inlineStr">
        <is>
          <t>Media</t>
        </is>
      </c>
      <c r="D136" s="21" t="n">
        <v>1</v>
      </c>
      <c r="E136" s="21" t="n">
        <v>0.85</v>
      </c>
      <c r="F136" s="20" t="inlineStr">
        <is>
          <t>-</t>
        </is>
      </c>
      <c r="G136" s="21" t="n">
        <v>1</v>
      </c>
      <c r="H136" s="22">
        <f>$B$3*D136*E136*G136</f>
        <v/>
      </c>
      <c r="I136" s="20" t="n"/>
    </row>
    <row r="137">
      <c r="A137" s="18" t="n">
        <v>46154</v>
      </c>
      <c r="B137" s="20" t="inlineStr">
        <is>
          <t>Martedì</t>
        </is>
      </c>
      <c r="C137" s="20" t="inlineStr">
        <is>
          <t>Media</t>
        </is>
      </c>
      <c r="D137" s="21" t="n">
        <v>1</v>
      </c>
      <c r="E137" s="21" t="n">
        <v>0.85</v>
      </c>
      <c r="F137" s="20" t="inlineStr">
        <is>
          <t>-</t>
        </is>
      </c>
      <c r="G137" s="21" t="n">
        <v>1</v>
      </c>
      <c r="H137" s="22">
        <f>$B$3*D137*E137*G137</f>
        <v/>
      </c>
      <c r="I137" s="20" t="n"/>
    </row>
    <row r="138">
      <c r="A138" s="18" t="n">
        <v>46155</v>
      </c>
      <c r="B138" s="20" t="inlineStr">
        <is>
          <t>Mercoledì</t>
        </is>
      </c>
      <c r="C138" s="20" t="inlineStr">
        <is>
          <t>Media</t>
        </is>
      </c>
      <c r="D138" s="21" t="n">
        <v>1</v>
      </c>
      <c r="E138" s="21" t="n">
        <v>0.9</v>
      </c>
      <c r="F138" s="20" t="inlineStr">
        <is>
          <t>-</t>
        </is>
      </c>
      <c r="G138" s="21" t="n">
        <v>1</v>
      </c>
      <c r="H138" s="22">
        <f>$B$3*D138*E138*G138</f>
        <v/>
      </c>
      <c r="I138" s="20" t="n"/>
    </row>
    <row r="139">
      <c r="A139" s="18" t="n">
        <v>46156</v>
      </c>
      <c r="B139" s="20" t="inlineStr">
        <is>
          <t>Giovedì</t>
        </is>
      </c>
      <c r="C139" s="20" t="inlineStr">
        <is>
          <t>Media</t>
        </is>
      </c>
      <c r="D139" s="21" t="n">
        <v>1</v>
      </c>
      <c r="E139" s="21" t="n">
        <v>0.95</v>
      </c>
      <c r="F139" s="20" t="inlineStr">
        <is>
          <t>-</t>
        </is>
      </c>
      <c r="G139" s="21" t="n">
        <v>1</v>
      </c>
      <c r="H139" s="22">
        <f>$B$3*D139*E139*G139</f>
        <v/>
      </c>
      <c r="I139" s="20" t="n"/>
    </row>
    <row r="140">
      <c r="A140" s="18" t="n">
        <v>46157</v>
      </c>
      <c r="B140" s="19" t="inlineStr">
        <is>
          <t>Venerdì</t>
        </is>
      </c>
      <c r="C140" s="20" t="inlineStr">
        <is>
          <t>Media</t>
        </is>
      </c>
      <c r="D140" s="21" t="n">
        <v>1</v>
      </c>
      <c r="E140" s="21" t="n">
        <v>1.1</v>
      </c>
      <c r="F140" s="20" t="inlineStr">
        <is>
          <t>-</t>
        </is>
      </c>
      <c r="G140" s="21" t="n">
        <v>1</v>
      </c>
      <c r="H140" s="22">
        <f>$B$3*D140*E140*G140</f>
        <v/>
      </c>
      <c r="I140" s="20" t="n"/>
    </row>
    <row r="141">
      <c r="A141" s="18" t="n">
        <v>46158</v>
      </c>
      <c r="B141" s="19" t="inlineStr">
        <is>
          <t>Sabato</t>
        </is>
      </c>
      <c r="C141" s="20" t="inlineStr">
        <is>
          <t>Media</t>
        </is>
      </c>
      <c r="D141" s="21" t="n">
        <v>1</v>
      </c>
      <c r="E141" s="21" t="n">
        <v>1.2</v>
      </c>
      <c r="F141" s="20" t="inlineStr">
        <is>
          <t>-</t>
        </is>
      </c>
      <c r="G141" s="21" t="n">
        <v>1</v>
      </c>
      <c r="H141" s="22">
        <f>$B$3*D141*E141*G141</f>
        <v/>
      </c>
      <c r="I141" s="20" t="n"/>
    </row>
    <row r="142">
      <c r="A142" s="18" t="n">
        <v>46159</v>
      </c>
      <c r="B142" s="19" t="inlineStr">
        <is>
          <t>Domenica</t>
        </is>
      </c>
      <c r="C142" s="20" t="inlineStr">
        <is>
          <t>Media</t>
        </is>
      </c>
      <c r="D142" s="21" t="n">
        <v>1</v>
      </c>
      <c r="E142" s="21" t="n">
        <v>1.05</v>
      </c>
      <c r="F142" s="20" t="inlineStr">
        <is>
          <t>-</t>
        </is>
      </c>
      <c r="G142" s="21" t="n">
        <v>1</v>
      </c>
      <c r="H142" s="22">
        <f>$B$3*D142*E142*G142</f>
        <v/>
      </c>
      <c r="I142" s="20" t="n"/>
    </row>
    <row r="143">
      <c r="A143" s="18" t="n">
        <v>46160</v>
      </c>
      <c r="B143" s="20" t="inlineStr">
        <is>
          <t>Lunedì</t>
        </is>
      </c>
      <c r="C143" s="20" t="inlineStr">
        <is>
          <t>Media</t>
        </is>
      </c>
      <c r="D143" s="21" t="n">
        <v>1</v>
      </c>
      <c r="E143" s="21" t="n">
        <v>0.85</v>
      </c>
      <c r="F143" s="20" t="inlineStr">
        <is>
          <t>-</t>
        </is>
      </c>
      <c r="G143" s="21" t="n">
        <v>1</v>
      </c>
      <c r="H143" s="22">
        <f>$B$3*D143*E143*G143</f>
        <v/>
      </c>
      <c r="I143" s="20" t="n"/>
    </row>
    <row r="144">
      <c r="A144" s="18" t="n">
        <v>46161</v>
      </c>
      <c r="B144" s="20" t="inlineStr">
        <is>
          <t>Martedì</t>
        </is>
      </c>
      <c r="C144" s="20" t="inlineStr">
        <is>
          <t>Media</t>
        </is>
      </c>
      <c r="D144" s="21" t="n">
        <v>1</v>
      </c>
      <c r="E144" s="21" t="n">
        <v>0.85</v>
      </c>
      <c r="F144" s="20" t="inlineStr">
        <is>
          <t>-</t>
        </is>
      </c>
      <c r="G144" s="21" t="n">
        <v>1</v>
      </c>
      <c r="H144" s="22">
        <f>$B$3*D144*E144*G144</f>
        <v/>
      </c>
      <c r="I144" s="20" t="n"/>
    </row>
    <row r="145">
      <c r="A145" s="18" t="n">
        <v>46162</v>
      </c>
      <c r="B145" s="20" t="inlineStr">
        <is>
          <t>Mercoledì</t>
        </is>
      </c>
      <c r="C145" s="20" t="inlineStr">
        <is>
          <t>Media</t>
        </is>
      </c>
      <c r="D145" s="21" t="n">
        <v>1</v>
      </c>
      <c r="E145" s="21" t="n">
        <v>0.9</v>
      </c>
      <c r="F145" s="20" t="inlineStr">
        <is>
          <t>-</t>
        </is>
      </c>
      <c r="G145" s="21" t="n">
        <v>1</v>
      </c>
      <c r="H145" s="22">
        <f>$B$3*D145*E145*G145</f>
        <v/>
      </c>
      <c r="I145" s="20" t="n"/>
    </row>
    <row r="146">
      <c r="A146" s="18" t="n">
        <v>46163</v>
      </c>
      <c r="B146" s="20" t="inlineStr">
        <is>
          <t>Giovedì</t>
        </is>
      </c>
      <c r="C146" s="20" t="inlineStr">
        <is>
          <t>Media</t>
        </is>
      </c>
      <c r="D146" s="21" t="n">
        <v>1</v>
      </c>
      <c r="E146" s="21" t="n">
        <v>0.95</v>
      </c>
      <c r="F146" s="20" t="inlineStr">
        <is>
          <t>-</t>
        </is>
      </c>
      <c r="G146" s="21" t="n">
        <v>1</v>
      </c>
      <c r="H146" s="22">
        <f>$B$3*D146*E146*G146</f>
        <v/>
      </c>
      <c r="I146" s="20" t="n"/>
    </row>
    <row r="147">
      <c r="A147" s="18" t="n">
        <v>46164</v>
      </c>
      <c r="B147" s="19" t="inlineStr">
        <is>
          <t>Venerdì</t>
        </is>
      </c>
      <c r="C147" s="20" t="inlineStr">
        <is>
          <t>Media</t>
        </is>
      </c>
      <c r="D147" s="21" t="n">
        <v>1</v>
      </c>
      <c r="E147" s="21" t="n">
        <v>1.1</v>
      </c>
      <c r="F147" s="20" t="inlineStr">
        <is>
          <t>-</t>
        </is>
      </c>
      <c r="G147" s="21" t="n">
        <v>1</v>
      </c>
      <c r="H147" s="22">
        <f>$B$3*D147*E147*G147</f>
        <v/>
      </c>
      <c r="I147" s="20" t="n"/>
    </row>
    <row r="148">
      <c r="A148" s="18" t="n">
        <v>46165</v>
      </c>
      <c r="B148" s="19" t="inlineStr">
        <is>
          <t>Sabato</t>
        </is>
      </c>
      <c r="C148" s="20" t="inlineStr">
        <is>
          <t>Media</t>
        </is>
      </c>
      <c r="D148" s="21" t="n">
        <v>1</v>
      </c>
      <c r="E148" s="21" t="n">
        <v>1.2</v>
      </c>
      <c r="F148" s="20" t="inlineStr">
        <is>
          <t>-</t>
        </is>
      </c>
      <c r="G148" s="21" t="n">
        <v>1</v>
      </c>
      <c r="H148" s="22">
        <f>$B$3*D148*E148*G148</f>
        <v/>
      </c>
      <c r="I148" s="20" t="n"/>
    </row>
    <row r="149">
      <c r="A149" s="18" t="n">
        <v>46166</v>
      </c>
      <c r="B149" s="19" t="inlineStr">
        <is>
          <t>Domenica</t>
        </is>
      </c>
      <c r="C149" s="20" t="inlineStr">
        <is>
          <t>Media</t>
        </is>
      </c>
      <c r="D149" s="21" t="n">
        <v>1</v>
      </c>
      <c r="E149" s="21" t="n">
        <v>1.05</v>
      </c>
      <c r="F149" s="20" t="inlineStr">
        <is>
          <t>-</t>
        </is>
      </c>
      <c r="G149" s="21" t="n">
        <v>1</v>
      </c>
      <c r="H149" s="22">
        <f>$B$3*D149*E149*G149</f>
        <v/>
      </c>
      <c r="I149" s="20" t="n"/>
    </row>
    <row r="150">
      <c r="A150" s="18" t="n">
        <v>46167</v>
      </c>
      <c r="B150" s="20" t="inlineStr">
        <is>
          <t>Lunedì</t>
        </is>
      </c>
      <c r="C150" s="20" t="inlineStr">
        <is>
          <t>Media</t>
        </is>
      </c>
      <c r="D150" s="21" t="n">
        <v>1</v>
      </c>
      <c r="E150" s="21" t="n">
        <v>0.85</v>
      </c>
      <c r="F150" s="20" t="inlineStr">
        <is>
          <t>-</t>
        </is>
      </c>
      <c r="G150" s="21" t="n">
        <v>1</v>
      </c>
      <c r="H150" s="22">
        <f>$B$3*D150*E150*G150</f>
        <v/>
      </c>
      <c r="I150" s="20" t="n"/>
    </row>
    <row r="151">
      <c r="A151" s="18" t="n">
        <v>46168</v>
      </c>
      <c r="B151" s="20" t="inlineStr">
        <is>
          <t>Martedì</t>
        </is>
      </c>
      <c r="C151" s="20" t="inlineStr">
        <is>
          <t>Media</t>
        </is>
      </c>
      <c r="D151" s="21" t="n">
        <v>1</v>
      </c>
      <c r="E151" s="21" t="n">
        <v>0.85</v>
      </c>
      <c r="F151" s="20" t="inlineStr">
        <is>
          <t>-</t>
        </is>
      </c>
      <c r="G151" s="21" t="n">
        <v>1</v>
      </c>
      <c r="H151" s="22">
        <f>$B$3*D151*E151*G151</f>
        <v/>
      </c>
      <c r="I151" s="20" t="n"/>
    </row>
    <row r="152">
      <c r="A152" s="18" t="n">
        <v>46169</v>
      </c>
      <c r="B152" s="20" t="inlineStr">
        <is>
          <t>Mercoledì</t>
        </is>
      </c>
      <c r="C152" s="20" t="inlineStr">
        <is>
          <t>Media</t>
        </is>
      </c>
      <c r="D152" s="21" t="n">
        <v>1</v>
      </c>
      <c r="E152" s="21" t="n">
        <v>0.9</v>
      </c>
      <c r="F152" s="20" t="inlineStr">
        <is>
          <t>-</t>
        </is>
      </c>
      <c r="G152" s="21" t="n">
        <v>1</v>
      </c>
      <c r="H152" s="22">
        <f>$B$3*D152*E152*G152</f>
        <v/>
      </c>
      <c r="I152" s="20" t="n"/>
    </row>
    <row r="153">
      <c r="A153" s="18" t="n">
        <v>46170</v>
      </c>
      <c r="B153" s="20" t="inlineStr">
        <is>
          <t>Giovedì</t>
        </is>
      </c>
      <c r="C153" s="20" t="inlineStr">
        <is>
          <t>Media</t>
        </is>
      </c>
      <c r="D153" s="21" t="n">
        <v>1</v>
      </c>
      <c r="E153" s="21" t="n">
        <v>0.95</v>
      </c>
      <c r="F153" s="20" t="inlineStr">
        <is>
          <t>-</t>
        </is>
      </c>
      <c r="G153" s="21" t="n">
        <v>1</v>
      </c>
      <c r="H153" s="22">
        <f>$B$3*D153*E153*G153</f>
        <v/>
      </c>
      <c r="I153" s="20" t="n"/>
    </row>
    <row r="154">
      <c r="A154" s="18" t="n">
        <v>46171</v>
      </c>
      <c r="B154" s="19" t="inlineStr">
        <is>
          <t>Venerdì</t>
        </is>
      </c>
      <c r="C154" s="20" t="inlineStr">
        <is>
          <t>Media</t>
        </is>
      </c>
      <c r="D154" s="21" t="n">
        <v>1</v>
      </c>
      <c r="E154" s="21" t="n">
        <v>1.1</v>
      </c>
      <c r="F154" s="20" t="inlineStr">
        <is>
          <t>-</t>
        </is>
      </c>
      <c r="G154" s="21" t="n">
        <v>1</v>
      </c>
      <c r="H154" s="22">
        <f>$B$3*D154*E154*G154</f>
        <v/>
      </c>
      <c r="I154" s="20" t="n"/>
    </row>
    <row r="155">
      <c r="A155" s="18" t="n">
        <v>46172</v>
      </c>
      <c r="B155" s="19" t="inlineStr">
        <is>
          <t>Sabato</t>
        </is>
      </c>
      <c r="C155" s="20" t="inlineStr">
        <is>
          <t>Media</t>
        </is>
      </c>
      <c r="D155" s="21" t="n">
        <v>1</v>
      </c>
      <c r="E155" s="21" t="n">
        <v>1.2</v>
      </c>
      <c r="F155" s="20" t="inlineStr">
        <is>
          <t>-</t>
        </is>
      </c>
      <c r="G155" s="21" t="n">
        <v>1</v>
      </c>
      <c r="H155" s="22">
        <f>$B$3*D155*E155*G155</f>
        <v/>
      </c>
      <c r="I155" s="20" t="n"/>
    </row>
    <row r="156">
      <c r="A156" s="18" t="n">
        <v>46173</v>
      </c>
      <c r="B156" s="19" t="inlineStr">
        <is>
          <t>Domenica</t>
        </is>
      </c>
      <c r="C156" s="20" t="inlineStr">
        <is>
          <t>Media</t>
        </is>
      </c>
      <c r="D156" s="21" t="n">
        <v>1</v>
      </c>
      <c r="E156" s="21" t="n">
        <v>1.05</v>
      </c>
      <c r="F156" s="20" t="inlineStr">
        <is>
          <t>-</t>
        </is>
      </c>
      <c r="G156" s="21" t="n">
        <v>1</v>
      </c>
      <c r="H156" s="22">
        <f>$B$3*D156*E156*G156</f>
        <v/>
      </c>
      <c r="I156" s="20" t="n"/>
    </row>
    <row r="157">
      <c r="A157" s="18" t="n">
        <v>46174</v>
      </c>
      <c r="B157" s="20" t="inlineStr">
        <is>
          <t>Lunedì</t>
        </is>
      </c>
      <c r="C157" s="20" t="inlineStr">
        <is>
          <t>Alta</t>
        </is>
      </c>
      <c r="D157" s="21" t="n">
        <v>1.4</v>
      </c>
      <c r="E157" s="21" t="n">
        <v>0.85</v>
      </c>
      <c r="F157" s="20" t="inlineStr">
        <is>
          <t>-</t>
        </is>
      </c>
      <c r="G157" s="21" t="n">
        <v>1</v>
      </c>
      <c r="H157" s="22">
        <f>$B$3*D157*E157*G157</f>
        <v/>
      </c>
      <c r="I157" s="20" t="n"/>
    </row>
    <row r="158">
      <c r="A158" s="14" t="n">
        <v>46175</v>
      </c>
      <c r="B158" s="15" t="inlineStr">
        <is>
          <t>Martedì</t>
        </is>
      </c>
      <c r="C158" s="15" t="inlineStr">
        <is>
          <t>Alta</t>
        </is>
      </c>
      <c r="D158" s="16" t="n">
        <v>1.4</v>
      </c>
      <c r="E158" s="16" t="n">
        <v>0.85</v>
      </c>
      <c r="F158" s="15" t="inlineStr">
        <is>
          <t>Repubblica</t>
        </is>
      </c>
      <c r="G158" s="16" t="n">
        <v>1.3</v>
      </c>
      <c r="H158" s="17">
        <f>$B$3*D158*E158*G158</f>
        <v/>
      </c>
      <c r="I158" s="15" t="n"/>
    </row>
    <row r="159">
      <c r="A159" s="18" t="n">
        <v>46176</v>
      </c>
      <c r="B159" s="20" t="inlineStr">
        <is>
          <t>Mercoledì</t>
        </is>
      </c>
      <c r="C159" s="20" t="inlineStr">
        <is>
          <t>Alta</t>
        </is>
      </c>
      <c r="D159" s="21" t="n">
        <v>1.4</v>
      </c>
      <c r="E159" s="21" t="n">
        <v>0.9</v>
      </c>
      <c r="F159" s="20" t="inlineStr">
        <is>
          <t>-</t>
        </is>
      </c>
      <c r="G159" s="21" t="n">
        <v>1</v>
      </c>
      <c r="H159" s="22">
        <f>$B$3*D159*E159*G159</f>
        <v/>
      </c>
      <c r="I159" s="20" t="n"/>
    </row>
    <row r="160">
      <c r="A160" s="18" t="n">
        <v>46177</v>
      </c>
      <c r="B160" s="20" t="inlineStr">
        <is>
          <t>Giovedì</t>
        </is>
      </c>
      <c r="C160" s="20" t="inlineStr">
        <is>
          <t>Alta</t>
        </is>
      </c>
      <c r="D160" s="21" t="n">
        <v>1.4</v>
      </c>
      <c r="E160" s="21" t="n">
        <v>0.95</v>
      </c>
      <c r="F160" s="20" t="inlineStr">
        <is>
          <t>-</t>
        </is>
      </c>
      <c r="G160" s="21" t="n">
        <v>1</v>
      </c>
      <c r="H160" s="22">
        <f>$B$3*D160*E160*G160</f>
        <v/>
      </c>
      <c r="I160" s="20" t="n"/>
    </row>
    <row r="161">
      <c r="A161" s="18" t="n">
        <v>46178</v>
      </c>
      <c r="B161" s="19" t="inlineStr">
        <is>
          <t>Venerdì</t>
        </is>
      </c>
      <c r="C161" s="20" t="inlineStr">
        <is>
          <t>Alta</t>
        </is>
      </c>
      <c r="D161" s="21" t="n">
        <v>1.4</v>
      </c>
      <c r="E161" s="21" t="n">
        <v>1.1</v>
      </c>
      <c r="F161" s="20" t="inlineStr">
        <is>
          <t>-</t>
        </is>
      </c>
      <c r="G161" s="21" t="n">
        <v>1</v>
      </c>
      <c r="H161" s="22">
        <f>$B$3*D161*E161*G161</f>
        <v/>
      </c>
      <c r="I161" s="20" t="n"/>
    </row>
    <row r="162">
      <c r="A162" s="18" t="n">
        <v>46179</v>
      </c>
      <c r="B162" s="19" t="inlineStr">
        <is>
          <t>Sabato</t>
        </is>
      </c>
      <c r="C162" s="20" t="inlineStr">
        <is>
          <t>Alta</t>
        </is>
      </c>
      <c r="D162" s="21" t="n">
        <v>1.4</v>
      </c>
      <c r="E162" s="21" t="n">
        <v>1.2</v>
      </c>
      <c r="F162" s="20" t="inlineStr">
        <is>
          <t>-</t>
        </is>
      </c>
      <c r="G162" s="21" t="n">
        <v>1</v>
      </c>
      <c r="H162" s="22">
        <f>$B$3*D162*E162*G162</f>
        <v/>
      </c>
      <c r="I162" s="20" t="n"/>
    </row>
    <row r="163">
      <c r="A163" s="18" t="n">
        <v>46180</v>
      </c>
      <c r="B163" s="19" t="inlineStr">
        <is>
          <t>Domenica</t>
        </is>
      </c>
      <c r="C163" s="20" t="inlineStr">
        <is>
          <t>Alta</t>
        </is>
      </c>
      <c r="D163" s="21" t="n">
        <v>1.4</v>
      </c>
      <c r="E163" s="21" t="n">
        <v>1.05</v>
      </c>
      <c r="F163" s="20" t="inlineStr">
        <is>
          <t>-</t>
        </is>
      </c>
      <c r="G163" s="21" t="n">
        <v>1</v>
      </c>
      <c r="H163" s="22">
        <f>$B$3*D163*E163*G163</f>
        <v/>
      </c>
      <c r="I163" s="20" t="n"/>
    </row>
    <row r="164">
      <c r="A164" s="18" t="n">
        <v>46181</v>
      </c>
      <c r="B164" s="20" t="inlineStr">
        <is>
          <t>Lunedì</t>
        </is>
      </c>
      <c r="C164" s="20" t="inlineStr">
        <is>
          <t>Alta</t>
        </is>
      </c>
      <c r="D164" s="21" t="n">
        <v>1.4</v>
      </c>
      <c r="E164" s="21" t="n">
        <v>0.85</v>
      </c>
      <c r="F164" s="20" t="inlineStr">
        <is>
          <t>-</t>
        </is>
      </c>
      <c r="G164" s="21" t="n">
        <v>1</v>
      </c>
      <c r="H164" s="22">
        <f>$B$3*D164*E164*G164</f>
        <v/>
      </c>
      <c r="I164" s="20" t="n"/>
    </row>
    <row r="165">
      <c r="A165" s="18" t="n">
        <v>46182</v>
      </c>
      <c r="B165" s="20" t="inlineStr">
        <is>
          <t>Martedì</t>
        </is>
      </c>
      <c r="C165" s="20" t="inlineStr">
        <is>
          <t>Alta</t>
        </is>
      </c>
      <c r="D165" s="21" t="n">
        <v>1.4</v>
      </c>
      <c r="E165" s="21" t="n">
        <v>0.85</v>
      </c>
      <c r="F165" s="20" t="inlineStr">
        <is>
          <t>-</t>
        </is>
      </c>
      <c r="G165" s="21" t="n">
        <v>1</v>
      </c>
      <c r="H165" s="22">
        <f>$B$3*D165*E165*G165</f>
        <v/>
      </c>
      <c r="I165" s="20" t="n"/>
    </row>
    <row r="166">
      <c r="A166" s="18" t="n">
        <v>46183</v>
      </c>
      <c r="B166" s="20" t="inlineStr">
        <is>
          <t>Mercoledì</t>
        </is>
      </c>
      <c r="C166" s="20" t="inlineStr">
        <is>
          <t>Alta</t>
        </is>
      </c>
      <c r="D166" s="21" t="n">
        <v>1.4</v>
      </c>
      <c r="E166" s="21" t="n">
        <v>0.9</v>
      </c>
      <c r="F166" s="20" t="inlineStr">
        <is>
          <t>-</t>
        </is>
      </c>
      <c r="G166" s="21" t="n">
        <v>1</v>
      </c>
      <c r="H166" s="22">
        <f>$B$3*D166*E166*G166</f>
        <v/>
      </c>
      <c r="I166" s="20" t="n"/>
    </row>
    <row r="167">
      <c r="A167" s="18" t="n">
        <v>46184</v>
      </c>
      <c r="B167" s="20" t="inlineStr">
        <is>
          <t>Giovedì</t>
        </is>
      </c>
      <c r="C167" s="20" t="inlineStr">
        <is>
          <t>Alta</t>
        </is>
      </c>
      <c r="D167" s="21" t="n">
        <v>1.4</v>
      </c>
      <c r="E167" s="21" t="n">
        <v>0.95</v>
      </c>
      <c r="F167" s="20" t="inlineStr">
        <is>
          <t>-</t>
        </is>
      </c>
      <c r="G167" s="21" t="n">
        <v>1</v>
      </c>
      <c r="H167" s="22">
        <f>$B$3*D167*E167*G167</f>
        <v/>
      </c>
      <c r="I167" s="20" t="n"/>
    </row>
    <row r="168">
      <c r="A168" s="18" t="n">
        <v>46185</v>
      </c>
      <c r="B168" s="19" t="inlineStr">
        <is>
          <t>Venerdì</t>
        </is>
      </c>
      <c r="C168" s="20" t="inlineStr">
        <is>
          <t>Alta</t>
        </is>
      </c>
      <c r="D168" s="21" t="n">
        <v>1.4</v>
      </c>
      <c r="E168" s="21" t="n">
        <v>1.1</v>
      </c>
      <c r="F168" s="20" t="inlineStr">
        <is>
          <t>-</t>
        </is>
      </c>
      <c r="G168" s="21" t="n">
        <v>1</v>
      </c>
      <c r="H168" s="22">
        <f>$B$3*D168*E168*G168</f>
        <v/>
      </c>
      <c r="I168" s="20" t="n"/>
    </row>
    <row r="169">
      <c r="A169" s="18" t="n">
        <v>46186</v>
      </c>
      <c r="B169" s="19" t="inlineStr">
        <is>
          <t>Sabato</t>
        </is>
      </c>
      <c r="C169" s="20" t="inlineStr">
        <is>
          <t>Alta</t>
        </is>
      </c>
      <c r="D169" s="21" t="n">
        <v>1.4</v>
      </c>
      <c r="E169" s="21" t="n">
        <v>1.2</v>
      </c>
      <c r="F169" s="20" t="inlineStr">
        <is>
          <t>-</t>
        </is>
      </c>
      <c r="G169" s="21" t="n">
        <v>1</v>
      </c>
      <c r="H169" s="22">
        <f>$B$3*D169*E169*G169</f>
        <v/>
      </c>
      <c r="I169" s="20" t="n"/>
    </row>
    <row r="170">
      <c r="A170" s="18" t="n">
        <v>46187</v>
      </c>
      <c r="B170" s="19" t="inlineStr">
        <is>
          <t>Domenica</t>
        </is>
      </c>
      <c r="C170" s="20" t="inlineStr">
        <is>
          <t>Alta</t>
        </is>
      </c>
      <c r="D170" s="21" t="n">
        <v>1.4</v>
      </c>
      <c r="E170" s="21" t="n">
        <v>1.05</v>
      </c>
      <c r="F170" s="20" t="inlineStr">
        <is>
          <t>-</t>
        </is>
      </c>
      <c r="G170" s="21" t="n">
        <v>1</v>
      </c>
      <c r="H170" s="22">
        <f>$B$3*D170*E170*G170</f>
        <v/>
      </c>
      <c r="I170" s="20" t="n"/>
    </row>
    <row r="171">
      <c r="A171" s="18" t="n">
        <v>46188</v>
      </c>
      <c r="B171" s="20" t="inlineStr">
        <is>
          <t>Lunedì</t>
        </is>
      </c>
      <c r="C171" s="20" t="inlineStr">
        <is>
          <t>Alta</t>
        </is>
      </c>
      <c r="D171" s="21" t="n">
        <v>1.4</v>
      </c>
      <c r="E171" s="21" t="n">
        <v>0.85</v>
      </c>
      <c r="F171" s="20" t="inlineStr">
        <is>
          <t>-</t>
        </is>
      </c>
      <c r="G171" s="21" t="n">
        <v>1</v>
      </c>
      <c r="H171" s="22">
        <f>$B$3*D171*E171*G171</f>
        <v/>
      </c>
      <c r="I171" s="20" t="n"/>
    </row>
    <row r="172">
      <c r="A172" s="18" t="n">
        <v>46189</v>
      </c>
      <c r="B172" s="20" t="inlineStr">
        <is>
          <t>Martedì</t>
        </is>
      </c>
      <c r="C172" s="20" t="inlineStr">
        <is>
          <t>Alta</t>
        </is>
      </c>
      <c r="D172" s="21" t="n">
        <v>1.4</v>
      </c>
      <c r="E172" s="21" t="n">
        <v>0.85</v>
      </c>
      <c r="F172" s="20" t="inlineStr">
        <is>
          <t>-</t>
        </is>
      </c>
      <c r="G172" s="21" t="n">
        <v>1</v>
      </c>
      <c r="H172" s="22">
        <f>$B$3*D172*E172*G172</f>
        <v/>
      </c>
      <c r="I172" s="20" t="n"/>
    </row>
    <row r="173">
      <c r="A173" s="18" t="n">
        <v>46190</v>
      </c>
      <c r="B173" s="20" t="inlineStr">
        <is>
          <t>Mercoledì</t>
        </is>
      </c>
      <c r="C173" s="20" t="inlineStr">
        <is>
          <t>Alta</t>
        </is>
      </c>
      <c r="D173" s="21" t="n">
        <v>1.4</v>
      </c>
      <c r="E173" s="21" t="n">
        <v>0.9</v>
      </c>
      <c r="F173" s="20" t="inlineStr">
        <is>
          <t>-</t>
        </is>
      </c>
      <c r="G173" s="21" t="n">
        <v>1</v>
      </c>
      <c r="H173" s="22">
        <f>$B$3*D173*E173*G173</f>
        <v/>
      </c>
      <c r="I173" s="20" t="n"/>
    </row>
    <row r="174">
      <c r="A174" s="18" t="n">
        <v>46191</v>
      </c>
      <c r="B174" s="20" t="inlineStr">
        <is>
          <t>Giovedì</t>
        </is>
      </c>
      <c r="C174" s="20" t="inlineStr">
        <is>
          <t>Alta</t>
        </is>
      </c>
      <c r="D174" s="21" t="n">
        <v>1.4</v>
      </c>
      <c r="E174" s="21" t="n">
        <v>0.95</v>
      </c>
      <c r="F174" s="20" t="inlineStr">
        <is>
          <t>-</t>
        </is>
      </c>
      <c r="G174" s="21" t="n">
        <v>1</v>
      </c>
      <c r="H174" s="22">
        <f>$B$3*D174*E174*G174</f>
        <v/>
      </c>
      <c r="I174" s="20" t="n"/>
    </row>
    <row r="175">
      <c r="A175" s="18" t="n">
        <v>46192</v>
      </c>
      <c r="B175" s="19" t="inlineStr">
        <is>
          <t>Venerdì</t>
        </is>
      </c>
      <c r="C175" s="20" t="inlineStr">
        <is>
          <t>Alta</t>
        </is>
      </c>
      <c r="D175" s="21" t="n">
        <v>1.4</v>
      </c>
      <c r="E175" s="21" t="n">
        <v>1.1</v>
      </c>
      <c r="F175" s="20" t="inlineStr">
        <is>
          <t>-</t>
        </is>
      </c>
      <c r="G175" s="21" t="n">
        <v>1</v>
      </c>
      <c r="H175" s="22">
        <f>$B$3*D175*E175*G175</f>
        <v/>
      </c>
      <c r="I175" s="20" t="n"/>
    </row>
    <row r="176">
      <c r="A176" s="18" t="n">
        <v>46193</v>
      </c>
      <c r="B176" s="19" t="inlineStr">
        <is>
          <t>Sabato</t>
        </is>
      </c>
      <c r="C176" s="20" t="inlineStr">
        <is>
          <t>Alta</t>
        </is>
      </c>
      <c r="D176" s="21" t="n">
        <v>1.4</v>
      </c>
      <c r="E176" s="21" t="n">
        <v>1.2</v>
      </c>
      <c r="F176" s="20" t="inlineStr">
        <is>
          <t>-</t>
        </is>
      </c>
      <c r="G176" s="21" t="n">
        <v>1</v>
      </c>
      <c r="H176" s="22">
        <f>$B$3*D176*E176*G176</f>
        <v/>
      </c>
      <c r="I176" s="20" t="n"/>
    </row>
    <row r="177">
      <c r="A177" s="18" t="n">
        <v>46194</v>
      </c>
      <c r="B177" s="19" t="inlineStr">
        <is>
          <t>Domenica</t>
        </is>
      </c>
      <c r="C177" s="20" t="inlineStr">
        <is>
          <t>Alta</t>
        </is>
      </c>
      <c r="D177" s="21" t="n">
        <v>1.4</v>
      </c>
      <c r="E177" s="21" t="n">
        <v>1.05</v>
      </c>
      <c r="F177" s="20" t="inlineStr">
        <is>
          <t>-</t>
        </is>
      </c>
      <c r="G177" s="21" t="n">
        <v>1</v>
      </c>
      <c r="H177" s="22">
        <f>$B$3*D177*E177*G177</f>
        <v/>
      </c>
      <c r="I177" s="20" t="n"/>
    </row>
    <row r="178">
      <c r="A178" s="18" t="n">
        <v>46195</v>
      </c>
      <c r="B178" s="20" t="inlineStr">
        <is>
          <t>Lunedì</t>
        </is>
      </c>
      <c r="C178" s="20" t="inlineStr">
        <is>
          <t>Alta</t>
        </is>
      </c>
      <c r="D178" s="21" t="n">
        <v>1.4</v>
      </c>
      <c r="E178" s="21" t="n">
        <v>0.85</v>
      </c>
      <c r="F178" s="20" t="inlineStr">
        <is>
          <t>-</t>
        </is>
      </c>
      <c r="G178" s="21" t="n">
        <v>1</v>
      </c>
      <c r="H178" s="22">
        <f>$B$3*D178*E178*G178</f>
        <v/>
      </c>
      <c r="I178" s="20" t="n"/>
    </row>
    <row r="179">
      <c r="A179" s="18" t="n">
        <v>46196</v>
      </c>
      <c r="B179" s="20" t="inlineStr">
        <is>
          <t>Martedì</t>
        </is>
      </c>
      <c r="C179" s="20" t="inlineStr">
        <is>
          <t>Alta</t>
        </is>
      </c>
      <c r="D179" s="21" t="n">
        <v>1.4</v>
      </c>
      <c r="E179" s="21" t="n">
        <v>0.85</v>
      </c>
      <c r="F179" s="20" t="inlineStr">
        <is>
          <t>-</t>
        </is>
      </c>
      <c r="G179" s="21" t="n">
        <v>1</v>
      </c>
      <c r="H179" s="22">
        <f>$B$3*D179*E179*G179</f>
        <v/>
      </c>
      <c r="I179" s="20" t="n"/>
    </row>
    <row r="180">
      <c r="A180" s="18" t="n">
        <v>46197</v>
      </c>
      <c r="B180" s="20" t="inlineStr">
        <is>
          <t>Mercoledì</t>
        </is>
      </c>
      <c r="C180" s="20" t="inlineStr">
        <is>
          <t>Alta</t>
        </is>
      </c>
      <c r="D180" s="21" t="n">
        <v>1.4</v>
      </c>
      <c r="E180" s="21" t="n">
        <v>0.9</v>
      </c>
      <c r="F180" s="20" t="inlineStr">
        <is>
          <t>-</t>
        </is>
      </c>
      <c r="G180" s="21" t="n">
        <v>1</v>
      </c>
      <c r="H180" s="22">
        <f>$B$3*D180*E180*G180</f>
        <v/>
      </c>
      <c r="I180" s="20" t="n"/>
    </row>
    <row r="181">
      <c r="A181" s="18" t="n">
        <v>46198</v>
      </c>
      <c r="B181" s="20" t="inlineStr">
        <is>
          <t>Giovedì</t>
        </is>
      </c>
      <c r="C181" s="20" t="inlineStr">
        <is>
          <t>Alta</t>
        </is>
      </c>
      <c r="D181" s="21" t="n">
        <v>1.4</v>
      </c>
      <c r="E181" s="21" t="n">
        <v>0.95</v>
      </c>
      <c r="F181" s="20" t="inlineStr">
        <is>
          <t>-</t>
        </is>
      </c>
      <c r="G181" s="21" t="n">
        <v>1</v>
      </c>
      <c r="H181" s="22">
        <f>$B$3*D181*E181*G181</f>
        <v/>
      </c>
      <c r="I181" s="20" t="n"/>
    </row>
    <row r="182">
      <c r="A182" s="18" t="n">
        <v>46199</v>
      </c>
      <c r="B182" s="19" t="inlineStr">
        <is>
          <t>Venerdì</t>
        </is>
      </c>
      <c r="C182" s="20" t="inlineStr">
        <is>
          <t>Alta</t>
        </is>
      </c>
      <c r="D182" s="21" t="n">
        <v>1.4</v>
      </c>
      <c r="E182" s="21" t="n">
        <v>1.1</v>
      </c>
      <c r="F182" s="20" t="inlineStr">
        <is>
          <t>-</t>
        </is>
      </c>
      <c r="G182" s="21" t="n">
        <v>1</v>
      </c>
      <c r="H182" s="22">
        <f>$B$3*D182*E182*G182</f>
        <v/>
      </c>
      <c r="I182" s="20" t="n"/>
    </row>
    <row r="183">
      <c r="A183" s="18" t="n">
        <v>46200</v>
      </c>
      <c r="B183" s="19" t="inlineStr">
        <is>
          <t>Sabato</t>
        </is>
      </c>
      <c r="C183" s="20" t="inlineStr">
        <is>
          <t>Alta</t>
        </is>
      </c>
      <c r="D183" s="21" t="n">
        <v>1.4</v>
      </c>
      <c r="E183" s="21" t="n">
        <v>1.2</v>
      </c>
      <c r="F183" s="20" t="inlineStr">
        <is>
          <t>-</t>
        </is>
      </c>
      <c r="G183" s="21" t="n">
        <v>1</v>
      </c>
      <c r="H183" s="22">
        <f>$B$3*D183*E183*G183</f>
        <v/>
      </c>
      <c r="I183" s="20" t="n"/>
    </row>
    <row r="184">
      <c r="A184" s="18" t="n">
        <v>46201</v>
      </c>
      <c r="B184" s="19" t="inlineStr">
        <is>
          <t>Domenica</t>
        </is>
      </c>
      <c r="C184" s="20" t="inlineStr">
        <is>
          <t>Alta</t>
        </is>
      </c>
      <c r="D184" s="21" t="n">
        <v>1.4</v>
      </c>
      <c r="E184" s="21" t="n">
        <v>1.05</v>
      </c>
      <c r="F184" s="20" t="inlineStr">
        <is>
          <t>-</t>
        </is>
      </c>
      <c r="G184" s="21" t="n">
        <v>1</v>
      </c>
      <c r="H184" s="22">
        <f>$B$3*D184*E184*G184</f>
        <v/>
      </c>
      <c r="I184" s="20" t="n"/>
    </row>
    <row r="185">
      <c r="A185" s="18" t="n">
        <v>46202</v>
      </c>
      <c r="B185" s="20" t="inlineStr">
        <is>
          <t>Lunedì</t>
        </is>
      </c>
      <c r="C185" s="20" t="inlineStr">
        <is>
          <t>Alta</t>
        </is>
      </c>
      <c r="D185" s="21" t="n">
        <v>1.4</v>
      </c>
      <c r="E185" s="21" t="n">
        <v>0.85</v>
      </c>
      <c r="F185" s="20" t="inlineStr">
        <is>
          <t>-</t>
        </is>
      </c>
      <c r="G185" s="21" t="n">
        <v>1</v>
      </c>
      <c r="H185" s="22">
        <f>$B$3*D185*E185*G185</f>
        <v/>
      </c>
      <c r="I185" s="20" t="n"/>
    </row>
    <row r="186">
      <c r="A186" s="18" t="n">
        <v>46203</v>
      </c>
      <c r="B186" s="20" t="inlineStr">
        <is>
          <t>Martedì</t>
        </is>
      </c>
      <c r="C186" s="20" t="inlineStr">
        <is>
          <t>Alta</t>
        </is>
      </c>
      <c r="D186" s="21" t="n">
        <v>1.4</v>
      </c>
      <c r="E186" s="21" t="n">
        <v>0.85</v>
      </c>
      <c r="F186" s="20" t="inlineStr">
        <is>
          <t>-</t>
        </is>
      </c>
      <c r="G186" s="21" t="n">
        <v>1</v>
      </c>
      <c r="H186" s="22">
        <f>$B$3*D186*E186*G186</f>
        <v/>
      </c>
      <c r="I186" s="20" t="n"/>
    </row>
    <row r="187">
      <c r="A187" s="18" t="n">
        <v>46204</v>
      </c>
      <c r="B187" s="20" t="inlineStr">
        <is>
          <t>Mercoledì</t>
        </is>
      </c>
      <c r="C187" s="20" t="inlineStr">
        <is>
          <t>Alta</t>
        </is>
      </c>
      <c r="D187" s="21" t="n">
        <v>1.4</v>
      </c>
      <c r="E187" s="21" t="n">
        <v>0.9</v>
      </c>
      <c r="F187" s="20" t="inlineStr">
        <is>
          <t>-</t>
        </is>
      </c>
      <c r="G187" s="21" t="n">
        <v>1</v>
      </c>
      <c r="H187" s="22">
        <f>$B$3*D187*E187*G187</f>
        <v/>
      </c>
      <c r="I187" s="20" t="n"/>
    </row>
    <row r="188">
      <c r="A188" s="18" t="n">
        <v>46205</v>
      </c>
      <c r="B188" s="20" t="inlineStr">
        <is>
          <t>Giovedì</t>
        </is>
      </c>
      <c r="C188" s="20" t="inlineStr">
        <is>
          <t>Alta</t>
        </is>
      </c>
      <c r="D188" s="21" t="n">
        <v>1.4</v>
      </c>
      <c r="E188" s="21" t="n">
        <v>0.95</v>
      </c>
      <c r="F188" s="20" t="inlineStr">
        <is>
          <t>-</t>
        </is>
      </c>
      <c r="G188" s="21" t="n">
        <v>1</v>
      </c>
      <c r="H188" s="22">
        <f>$B$3*D188*E188*G188</f>
        <v/>
      </c>
      <c r="I188" s="20" t="n"/>
    </row>
    <row r="189">
      <c r="A189" s="18" t="n">
        <v>46206</v>
      </c>
      <c r="B189" s="19" t="inlineStr">
        <is>
          <t>Venerdì</t>
        </is>
      </c>
      <c r="C189" s="20" t="inlineStr">
        <is>
          <t>Alta</t>
        </is>
      </c>
      <c r="D189" s="21" t="n">
        <v>1.4</v>
      </c>
      <c r="E189" s="21" t="n">
        <v>1.1</v>
      </c>
      <c r="F189" s="20" t="inlineStr">
        <is>
          <t>-</t>
        </is>
      </c>
      <c r="G189" s="21" t="n">
        <v>1</v>
      </c>
      <c r="H189" s="22">
        <f>$B$3*D189*E189*G189</f>
        <v/>
      </c>
      <c r="I189" s="20" t="n"/>
    </row>
    <row r="190">
      <c r="A190" s="18" t="n">
        <v>46207</v>
      </c>
      <c r="B190" s="19" t="inlineStr">
        <is>
          <t>Sabato</t>
        </is>
      </c>
      <c r="C190" s="20" t="inlineStr">
        <is>
          <t>Alta</t>
        </is>
      </c>
      <c r="D190" s="21" t="n">
        <v>1.4</v>
      </c>
      <c r="E190" s="21" t="n">
        <v>1.2</v>
      </c>
      <c r="F190" s="20" t="inlineStr">
        <is>
          <t>-</t>
        </is>
      </c>
      <c r="G190" s="21" t="n">
        <v>1</v>
      </c>
      <c r="H190" s="22">
        <f>$B$3*D190*E190*G190</f>
        <v/>
      </c>
      <c r="I190" s="20" t="n"/>
    </row>
    <row r="191">
      <c r="A191" s="18" t="n">
        <v>46208</v>
      </c>
      <c r="B191" s="19" t="inlineStr">
        <is>
          <t>Domenica</t>
        </is>
      </c>
      <c r="C191" s="20" t="inlineStr">
        <is>
          <t>Alta</t>
        </is>
      </c>
      <c r="D191" s="21" t="n">
        <v>1.4</v>
      </c>
      <c r="E191" s="21" t="n">
        <v>1.05</v>
      </c>
      <c r="F191" s="20" t="inlineStr">
        <is>
          <t>-</t>
        </is>
      </c>
      <c r="G191" s="21" t="n">
        <v>1</v>
      </c>
      <c r="H191" s="22">
        <f>$B$3*D191*E191*G191</f>
        <v/>
      </c>
      <c r="I191" s="20" t="n"/>
    </row>
    <row r="192">
      <c r="A192" s="18" t="n">
        <v>46209</v>
      </c>
      <c r="B192" s="20" t="inlineStr">
        <is>
          <t>Lunedì</t>
        </is>
      </c>
      <c r="C192" s="20" t="inlineStr">
        <is>
          <t>Alta</t>
        </is>
      </c>
      <c r="D192" s="21" t="n">
        <v>1.4</v>
      </c>
      <c r="E192" s="21" t="n">
        <v>0.85</v>
      </c>
      <c r="F192" s="20" t="inlineStr">
        <is>
          <t>-</t>
        </is>
      </c>
      <c r="G192" s="21" t="n">
        <v>1</v>
      </c>
      <c r="H192" s="22">
        <f>$B$3*D192*E192*G192</f>
        <v/>
      </c>
      <c r="I192" s="20" t="n"/>
    </row>
    <row r="193">
      <c r="A193" s="18" t="n">
        <v>46210</v>
      </c>
      <c r="B193" s="20" t="inlineStr">
        <is>
          <t>Martedì</t>
        </is>
      </c>
      <c r="C193" s="20" t="inlineStr">
        <is>
          <t>Alta</t>
        </is>
      </c>
      <c r="D193" s="21" t="n">
        <v>1.4</v>
      </c>
      <c r="E193" s="21" t="n">
        <v>0.85</v>
      </c>
      <c r="F193" s="20" t="inlineStr">
        <is>
          <t>-</t>
        </is>
      </c>
      <c r="G193" s="21" t="n">
        <v>1</v>
      </c>
      <c r="H193" s="22">
        <f>$B$3*D193*E193*G193</f>
        <v/>
      </c>
      <c r="I193" s="20" t="n"/>
    </row>
    <row r="194">
      <c r="A194" s="18" t="n">
        <v>46211</v>
      </c>
      <c r="B194" s="20" t="inlineStr">
        <is>
          <t>Mercoledì</t>
        </is>
      </c>
      <c r="C194" s="20" t="inlineStr">
        <is>
          <t>Alta</t>
        </is>
      </c>
      <c r="D194" s="21" t="n">
        <v>1.4</v>
      </c>
      <c r="E194" s="21" t="n">
        <v>0.9</v>
      </c>
      <c r="F194" s="20" t="inlineStr">
        <is>
          <t>-</t>
        </is>
      </c>
      <c r="G194" s="21" t="n">
        <v>1</v>
      </c>
      <c r="H194" s="22">
        <f>$B$3*D194*E194*G194</f>
        <v/>
      </c>
      <c r="I194" s="20" t="n"/>
    </row>
    <row r="195">
      <c r="A195" s="18" t="n">
        <v>46212</v>
      </c>
      <c r="B195" s="20" t="inlineStr">
        <is>
          <t>Giovedì</t>
        </is>
      </c>
      <c r="C195" s="20" t="inlineStr">
        <is>
          <t>Alta</t>
        </is>
      </c>
      <c r="D195" s="21" t="n">
        <v>1.4</v>
      </c>
      <c r="E195" s="21" t="n">
        <v>0.95</v>
      </c>
      <c r="F195" s="20" t="inlineStr">
        <is>
          <t>-</t>
        </is>
      </c>
      <c r="G195" s="21" t="n">
        <v>1</v>
      </c>
      <c r="H195" s="22">
        <f>$B$3*D195*E195*G195</f>
        <v/>
      </c>
      <c r="I195" s="20" t="n"/>
    </row>
    <row r="196">
      <c r="A196" s="18" t="n">
        <v>46213</v>
      </c>
      <c r="B196" s="19" t="inlineStr">
        <is>
          <t>Venerdì</t>
        </is>
      </c>
      <c r="C196" s="20" t="inlineStr">
        <is>
          <t>Alta</t>
        </is>
      </c>
      <c r="D196" s="21" t="n">
        <v>1.4</v>
      </c>
      <c r="E196" s="21" t="n">
        <v>1.1</v>
      </c>
      <c r="F196" s="20" t="inlineStr">
        <is>
          <t>-</t>
        </is>
      </c>
      <c r="G196" s="21" t="n">
        <v>1</v>
      </c>
      <c r="H196" s="22">
        <f>$B$3*D196*E196*G196</f>
        <v/>
      </c>
      <c r="I196" s="20" t="n"/>
    </row>
    <row r="197">
      <c r="A197" s="18" t="n">
        <v>46214</v>
      </c>
      <c r="B197" s="19" t="inlineStr">
        <is>
          <t>Sabato</t>
        </is>
      </c>
      <c r="C197" s="20" t="inlineStr">
        <is>
          <t>Alta</t>
        </is>
      </c>
      <c r="D197" s="21" t="n">
        <v>1.4</v>
      </c>
      <c r="E197" s="21" t="n">
        <v>1.2</v>
      </c>
      <c r="F197" s="20" t="inlineStr">
        <is>
          <t>-</t>
        </is>
      </c>
      <c r="G197" s="21" t="n">
        <v>1</v>
      </c>
      <c r="H197" s="22">
        <f>$B$3*D197*E197*G197</f>
        <v/>
      </c>
      <c r="I197" s="20" t="n"/>
    </row>
    <row r="198">
      <c r="A198" s="18" t="n">
        <v>46215</v>
      </c>
      <c r="B198" s="19" t="inlineStr">
        <is>
          <t>Domenica</t>
        </is>
      </c>
      <c r="C198" s="20" t="inlineStr">
        <is>
          <t>Alta</t>
        </is>
      </c>
      <c r="D198" s="21" t="n">
        <v>1.4</v>
      </c>
      <c r="E198" s="21" t="n">
        <v>1.05</v>
      </c>
      <c r="F198" s="20" t="inlineStr">
        <is>
          <t>-</t>
        </is>
      </c>
      <c r="G198" s="21" t="n">
        <v>1</v>
      </c>
      <c r="H198" s="22">
        <f>$B$3*D198*E198*G198</f>
        <v/>
      </c>
      <c r="I198" s="20" t="n"/>
    </row>
    <row r="199">
      <c r="A199" s="18" t="n">
        <v>46216</v>
      </c>
      <c r="B199" s="20" t="inlineStr">
        <is>
          <t>Lunedì</t>
        </is>
      </c>
      <c r="C199" s="20" t="inlineStr">
        <is>
          <t>Alta</t>
        </is>
      </c>
      <c r="D199" s="21" t="n">
        <v>1.4</v>
      </c>
      <c r="E199" s="21" t="n">
        <v>0.85</v>
      </c>
      <c r="F199" s="20" t="inlineStr">
        <is>
          <t>-</t>
        </is>
      </c>
      <c r="G199" s="21" t="n">
        <v>1</v>
      </c>
      <c r="H199" s="22">
        <f>$B$3*D199*E199*G199</f>
        <v/>
      </c>
      <c r="I199" s="20" t="n"/>
    </row>
    <row r="200">
      <c r="A200" s="18" t="n">
        <v>46217</v>
      </c>
      <c r="B200" s="20" t="inlineStr">
        <is>
          <t>Martedì</t>
        </is>
      </c>
      <c r="C200" s="20" t="inlineStr">
        <is>
          <t>Alta</t>
        </is>
      </c>
      <c r="D200" s="21" t="n">
        <v>1.4</v>
      </c>
      <c r="E200" s="21" t="n">
        <v>0.85</v>
      </c>
      <c r="F200" s="20" t="inlineStr">
        <is>
          <t>-</t>
        </is>
      </c>
      <c r="G200" s="21" t="n">
        <v>1</v>
      </c>
      <c r="H200" s="22">
        <f>$B$3*D200*E200*G200</f>
        <v/>
      </c>
      <c r="I200" s="20" t="n"/>
    </row>
    <row r="201">
      <c r="A201" s="18" t="n">
        <v>46218</v>
      </c>
      <c r="B201" s="20" t="inlineStr">
        <is>
          <t>Mercoledì</t>
        </is>
      </c>
      <c r="C201" s="20" t="inlineStr">
        <is>
          <t>Alta</t>
        </is>
      </c>
      <c r="D201" s="21" t="n">
        <v>1.4</v>
      </c>
      <c r="E201" s="21" t="n">
        <v>0.9</v>
      </c>
      <c r="F201" s="20" t="inlineStr">
        <is>
          <t>-</t>
        </is>
      </c>
      <c r="G201" s="21" t="n">
        <v>1</v>
      </c>
      <c r="H201" s="22">
        <f>$B$3*D201*E201*G201</f>
        <v/>
      </c>
      <c r="I201" s="20" t="n"/>
    </row>
    <row r="202">
      <c r="A202" s="18" t="n">
        <v>46219</v>
      </c>
      <c r="B202" s="20" t="inlineStr">
        <is>
          <t>Giovedì</t>
        </is>
      </c>
      <c r="C202" s="20" t="inlineStr">
        <is>
          <t>Alta</t>
        </is>
      </c>
      <c r="D202" s="21" t="n">
        <v>1.4</v>
      </c>
      <c r="E202" s="21" t="n">
        <v>0.95</v>
      </c>
      <c r="F202" s="20" t="inlineStr">
        <is>
          <t>-</t>
        </is>
      </c>
      <c r="G202" s="21" t="n">
        <v>1</v>
      </c>
      <c r="H202" s="22">
        <f>$B$3*D202*E202*G202</f>
        <v/>
      </c>
      <c r="I202" s="20" t="n"/>
    </row>
    <row r="203">
      <c r="A203" s="18" t="n">
        <v>46220</v>
      </c>
      <c r="B203" s="19" t="inlineStr">
        <is>
          <t>Venerdì</t>
        </is>
      </c>
      <c r="C203" s="20" t="inlineStr">
        <is>
          <t>Alta</t>
        </is>
      </c>
      <c r="D203" s="21" t="n">
        <v>1.4</v>
      </c>
      <c r="E203" s="21" t="n">
        <v>1.1</v>
      </c>
      <c r="F203" s="20" t="inlineStr">
        <is>
          <t>-</t>
        </is>
      </c>
      <c r="G203" s="21" t="n">
        <v>1</v>
      </c>
      <c r="H203" s="22">
        <f>$B$3*D203*E203*G203</f>
        <v/>
      </c>
      <c r="I203" s="20" t="n"/>
    </row>
    <row r="204">
      <c r="A204" s="18" t="n">
        <v>46221</v>
      </c>
      <c r="B204" s="19" t="inlineStr">
        <is>
          <t>Sabato</t>
        </is>
      </c>
      <c r="C204" s="20" t="inlineStr">
        <is>
          <t>Alta</t>
        </is>
      </c>
      <c r="D204" s="21" t="n">
        <v>1.4</v>
      </c>
      <c r="E204" s="21" t="n">
        <v>1.2</v>
      </c>
      <c r="F204" s="20" t="inlineStr">
        <is>
          <t>-</t>
        </is>
      </c>
      <c r="G204" s="21" t="n">
        <v>1</v>
      </c>
      <c r="H204" s="22">
        <f>$B$3*D204*E204*G204</f>
        <v/>
      </c>
      <c r="I204" s="20" t="n"/>
    </row>
    <row r="205">
      <c r="A205" s="18" t="n">
        <v>46222</v>
      </c>
      <c r="B205" s="19" t="inlineStr">
        <is>
          <t>Domenica</t>
        </is>
      </c>
      <c r="C205" s="20" t="inlineStr">
        <is>
          <t>Alta</t>
        </is>
      </c>
      <c r="D205" s="21" t="n">
        <v>1.4</v>
      </c>
      <c r="E205" s="21" t="n">
        <v>1.05</v>
      </c>
      <c r="F205" s="20" t="inlineStr">
        <is>
          <t>-</t>
        </is>
      </c>
      <c r="G205" s="21" t="n">
        <v>1</v>
      </c>
      <c r="H205" s="22">
        <f>$B$3*D205*E205*G205</f>
        <v/>
      </c>
      <c r="I205" s="20" t="n"/>
    </row>
    <row r="206">
      <c r="A206" s="18" t="n">
        <v>46223</v>
      </c>
      <c r="B206" s="20" t="inlineStr">
        <is>
          <t>Lunedì</t>
        </is>
      </c>
      <c r="C206" s="20" t="inlineStr">
        <is>
          <t>Alta</t>
        </is>
      </c>
      <c r="D206" s="21" t="n">
        <v>1.4</v>
      </c>
      <c r="E206" s="21" t="n">
        <v>0.85</v>
      </c>
      <c r="F206" s="20" t="inlineStr">
        <is>
          <t>-</t>
        </is>
      </c>
      <c r="G206" s="21" t="n">
        <v>1</v>
      </c>
      <c r="H206" s="22">
        <f>$B$3*D206*E206*G206</f>
        <v/>
      </c>
      <c r="I206" s="20" t="n"/>
    </row>
    <row r="207">
      <c r="A207" s="18" t="n">
        <v>46224</v>
      </c>
      <c r="B207" s="20" t="inlineStr">
        <is>
          <t>Martedì</t>
        </is>
      </c>
      <c r="C207" s="20" t="inlineStr">
        <is>
          <t>Alta</t>
        </is>
      </c>
      <c r="D207" s="21" t="n">
        <v>1.4</v>
      </c>
      <c r="E207" s="21" t="n">
        <v>0.85</v>
      </c>
      <c r="F207" s="20" t="inlineStr">
        <is>
          <t>-</t>
        </is>
      </c>
      <c r="G207" s="21" t="n">
        <v>1</v>
      </c>
      <c r="H207" s="22">
        <f>$B$3*D207*E207*G207</f>
        <v/>
      </c>
      <c r="I207" s="20" t="n"/>
    </row>
    <row r="208">
      <c r="A208" s="18" t="n">
        <v>46225</v>
      </c>
      <c r="B208" s="20" t="inlineStr">
        <is>
          <t>Mercoledì</t>
        </is>
      </c>
      <c r="C208" s="20" t="inlineStr">
        <is>
          <t>Alta</t>
        </is>
      </c>
      <c r="D208" s="21" t="n">
        <v>1.4</v>
      </c>
      <c r="E208" s="21" t="n">
        <v>0.9</v>
      </c>
      <c r="F208" s="20" t="inlineStr">
        <is>
          <t>-</t>
        </is>
      </c>
      <c r="G208" s="21" t="n">
        <v>1</v>
      </c>
      <c r="H208" s="22">
        <f>$B$3*D208*E208*G208</f>
        <v/>
      </c>
      <c r="I208" s="20" t="n"/>
    </row>
    <row r="209">
      <c r="A209" s="18" t="n">
        <v>46226</v>
      </c>
      <c r="B209" s="20" t="inlineStr">
        <is>
          <t>Giovedì</t>
        </is>
      </c>
      <c r="C209" s="20" t="inlineStr">
        <is>
          <t>Alta</t>
        </is>
      </c>
      <c r="D209" s="21" t="n">
        <v>1.4</v>
      </c>
      <c r="E209" s="21" t="n">
        <v>0.95</v>
      </c>
      <c r="F209" s="20" t="inlineStr">
        <is>
          <t>-</t>
        </is>
      </c>
      <c r="G209" s="21" t="n">
        <v>1</v>
      </c>
      <c r="H209" s="22">
        <f>$B$3*D209*E209*G209</f>
        <v/>
      </c>
      <c r="I209" s="20" t="n"/>
    </row>
    <row r="210">
      <c r="A210" s="18" t="n">
        <v>46227</v>
      </c>
      <c r="B210" s="19" t="inlineStr">
        <is>
          <t>Venerdì</t>
        </is>
      </c>
      <c r="C210" s="20" t="inlineStr">
        <is>
          <t>Alta</t>
        </is>
      </c>
      <c r="D210" s="21" t="n">
        <v>1.4</v>
      </c>
      <c r="E210" s="21" t="n">
        <v>1.1</v>
      </c>
      <c r="F210" s="20" t="inlineStr">
        <is>
          <t>-</t>
        </is>
      </c>
      <c r="G210" s="21" t="n">
        <v>1</v>
      </c>
      <c r="H210" s="22">
        <f>$B$3*D210*E210*G210</f>
        <v/>
      </c>
      <c r="I210" s="20" t="n"/>
    </row>
    <row r="211">
      <c r="A211" s="18" t="n">
        <v>46228</v>
      </c>
      <c r="B211" s="19" t="inlineStr">
        <is>
          <t>Sabato</t>
        </is>
      </c>
      <c r="C211" s="20" t="inlineStr">
        <is>
          <t>Alta</t>
        </is>
      </c>
      <c r="D211" s="21" t="n">
        <v>1.4</v>
      </c>
      <c r="E211" s="21" t="n">
        <v>1.2</v>
      </c>
      <c r="F211" s="20" t="inlineStr">
        <is>
          <t>-</t>
        </is>
      </c>
      <c r="G211" s="21" t="n">
        <v>1</v>
      </c>
      <c r="H211" s="22">
        <f>$B$3*D211*E211*G211</f>
        <v/>
      </c>
      <c r="I211" s="20" t="n"/>
    </row>
    <row r="212">
      <c r="A212" s="18" t="n">
        <v>46229</v>
      </c>
      <c r="B212" s="19" t="inlineStr">
        <is>
          <t>Domenica</t>
        </is>
      </c>
      <c r="C212" s="20" t="inlineStr">
        <is>
          <t>Alta</t>
        </is>
      </c>
      <c r="D212" s="21" t="n">
        <v>1.4</v>
      </c>
      <c r="E212" s="21" t="n">
        <v>1.05</v>
      </c>
      <c r="F212" s="20" t="inlineStr">
        <is>
          <t>-</t>
        </is>
      </c>
      <c r="G212" s="21" t="n">
        <v>1</v>
      </c>
      <c r="H212" s="22">
        <f>$B$3*D212*E212*G212</f>
        <v/>
      </c>
      <c r="I212" s="20" t="n"/>
    </row>
    <row r="213">
      <c r="A213" s="18" t="n">
        <v>46230</v>
      </c>
      <c r="B213" s="20" t="inlineStr">
        <is>
          <t>Lunedì</t>
        </is>
      </c>
      <c r="C213" s="20" t="inlineStr">
        <is>
          <t>Alta</t>
        </is>
      </c>
      <c r="D213" s="21" t="n">
        <v>1.4</v>
      </c>
      <c r="E213" s="21" t="n">
        <v>0.85</v>
      </c>
      <c r="F213" s="20" t="inlineStr">
        <is>
          <t>-</t>
        </is>
      </c>
      <c r="G213" s="21" t="n">
        <v>1</v>
      </c>
      <c r="H213" s="22">
        <f>$B$3*D213*E213*G213</f>
        <v/>
      </c>
      <c r="I213" s="20" t="n"/>
    </row>
    <row r="214">
      <c r="A214" s="18" t="n">
        <v>46231</v>
      </c>
      <c r="B214" s="20" t="inlineStr">
        <is>
          <t>Martedì</t>
        </is>
      </c>
      <c r="C214" s="20" t="inlineStr">
        <is>
          <t>Alta</t>
        </is>
      </c>
      <c r="D214" s="21" t="n">
        <v>1.4</v>
      </c>
      <c r="E214" s="21" t="n">
        <v>0.85</v>
      </c>
      <c r="F214" s="20" t="inlineStr">
        <is>
          <t>-</t>
        </is>
      </c>
      <c r="G214" s="21" t="n">
        <v>1</v>
      </c>
      <c r="H214" s="22">
        <f>$B$3*D214*E214*G214</f>
        <v/>
      </c>
      <c r="I214" s="20" t="n"/>
    </row>
    <row r="215">
      <c r="A215" s="18" t="n">
        <v>46232</v>
      </c>
      <c r="B215" s="20" t="inlineStr">
        <is>
          <t>Mercoledì</t>
        </is>
      </c>
      <c r="C215" s="20" t="inlineStr">
        <is>
          <t>Alta</t>
        </is>
      </c>
      <c r="D215" s="21" t="n">
        <v>1.4</v>
      </c>
      <c r="E215" s="21" t="n">
        <v>0.9</v>
      </c>
      <c r="F215" s="20" t="inlineStr">
        <is>
          <t>-</t>
        </is>
      </c>
      <c r="G215" s="21" t="n">
        <v>1</v>
      </c>
      <c r="H215" s="22">
        <f>$B$3*D215*E215*G215</f>
        <v/>
      </c>
      <c r="I215" s="20" t="n"/>
    </row>
    <row r="216">
      <c r="A216" s="18" t="n">
        <v>46233</v>
      </c>
      <c r="B216" s="20" t="inlineStr">
        <is>
          <t>Giovedì</t>
        </is>
      </c>
      <c r="C216" s="20" t="inlineStr">
        <is>
          <t>Alta</t>
        </is>
      </c>
      <c r="D216" s="21" t="n">
        <v>1.4</v>
      </c>
      <c r="E216" s="21" t="n">
        <v>0.95</v>
      </c>
      <c r="F216" s="20" t="inlineStr">
        <is>
          <t>-</t>
        </is>
      </c>
      <c r="G216" s="21" t="n">
        <v>1</v>
      </c>
      <c r="H216" s="22">
        <f>$B$3*D216*E216*G216</f>
        <v/>
      </c>
      <c r="I216" s="20" t="n"/>
    </row>
    <row r="217">
      <c r="A217" s="18" t="n">
        <v>46234</v>
      </c>
      <c r="B217" s="19" t="inlineStr">
        <is>
          <t>Venerdì</t>
        </is>
      </c>
      <c r="C217" s="20" t="inlineStr">
        <is>
          <t>Alta</t>
        </is>
      </c>
      <c r="D217" s="21" t="n">
        <v>1.4</v>
      </c>
      <c r="E217" s="21" t="n">
        <v>1.1</v>
      </c>
      <c r="F217" s="20" t="inlineStr">
        <is>
          <t>-</t>
        </is>
      </c>
      <c r="G217" s="21" t="n">
        <v>1</v>
      </c>
      <c r="H217" s="22">
        <f>$B$3*D217*E217*G217</f>
        <v/>
      </c>
      <c r="I217" s="20" t="n"/>
    </row>
    <row r="218">
      <c r="A218" s="18" t="n">
        <v>46235</v>
      </c>
      <c r="B218" s="19" t="inlineStr">
        <is>
          <t>Sabato</t>
        </is>
      </c>
      <c r="C218" s="20" t="inlineStr">
        <is>
          <t>Alta</t>
        </is>
      </c>
      <c r="D218" s="21" t="n">
        <v>1.4</v>
      </c>
      <c r="E218" s="21" t="n">
        <v>1.2</v>
      </c>
      <c r="F218" s="20" t="inlineStr">
        <is>
          <t>-</t>
        </is>
      </c>
      <c r="G218" s="21" t="n">
        <v>1</v>
      </c>
      <c r="H218" s="22">
        <f>$B$3*D218*E218*G218</f>
        <v/>
      </c>
      <c r="I218" s="20" t="n"/>
    </row>
    <row r="219">
      <c r="A219" s="18" t="n">
        <v>46236</v>
      </c>
      <c r="B219" s="19" t="inlineStr">
        <is>
          <t>Domenica</t>
        </is>
      </c>
      <c r="C219" s="20" t="inlineStr">
        <is>
          <t>Alta</t>
        </is>
      </c>
      <c r="D219" s="21" t="n">
        <v>1.4</v>
      </c>
      <c r="E219" s="21" t="n">
        <v>1.05</v>
      </c>
      <c r="F219" s="20" t="inlineStr">
        <is>
          <t>-</t>
        </is>
      </c>
      <c r="G219" s="21" t="n">
        <v>1</v>
      </c>
      <c r="H219" s="22">
        <f>$B$3*D219*E219*G219</f>
        <v/>
      </c>
      <c r="I219" s="20" t="n"/>
    </row>
    <row r="220">
      <c r="A220" s="18" t="n">
        <v>46237</v>
      </c>
      <c r="B220" s="20" t="inlineStr">
        <is>
          <t>Lunedì</t>
        </is>
      </c>
      <c r="C220" s="20" t="inlineStr">
        <is>
          <t>Alta</t>
        </is>
      </c>
      <c r="D220" s="21" t="n">
        <v>1.4</v>
      </c>
      <c r="E220" s="21" t="n">
        <v>0.85</v>
      </c>
      <c r="F220" s="20" t="inlineStr">
        <is>
          <t>-</t>
        </is>
      </c>
      <c r="G220" s="21" t="n">
        <v>1</v>
      </c>
      <c r="H220" s="22">
        <f>$B$3*D220*E220*G220</f>
        <v/>
      </c>
      <c r="I220" s="20" t="n"/>
    </row>
    <row r="221">
      <c r="A221" s="18" t="n">
        <v>46238</v>
      </c>
      <c r="B221" s="20" t="inlineStr">
        <is>
          <t>Martedì</t>
        </is>
      </c>
      <c r="C221" s="20" t="inlineStr">
        <is>
          <t>Alta</t>
        </is>
      </c>
      <c r="D221" s="21" t="n">
        <v>1.4</v>
      </c>
      <c r="E221" s="21" t="n">
        <v>0.85</v>
      </c>
      <c r="F221" s="20" t="inlineStr">
        <is>
          <t>-</t>
        </is>
      </c>
      <c r="G221" s="21" t="n">
        <v>1</v>
      </c>
      <c r="H221" s="22">
        <f>$B$3*D221*E221*G221</f>
        <v/>
      </c>
      <c r="I221" s="20" t="n"/>
    </row>
    <row r="222">
      <c r="A222" s="18" t="n">
        <v>46239</v>
      </c>
      <c r="B222" s="20" t="inlineStr">
        <is>
          <t>Mercoledì</t>
        </is>
      </c>
      <c r="C222" s="20" t="inlineStr">
        <is>
          <t>Alta</t>
        </is>
      </c>
      <c r="D222" s="21" t="n">
        <v>1.4</v>
      </c>
      <c r="E222" s="21" t="n">
        <v>0.9</v>
      </c>
      <c r="F222" s="20" t="inlineStr">
        <is>
          <t>-</t>
        </is>
      </c>
      <c r="G222" s="21" t="n">
        <v>1</v>
      </c>
      <c r="H222" s="22">
        <f>$B$3*D222*E222*G222</f>
        <v/>
      </c>
      <c r="I222" s="20" t="n"/>
    </row>
    <row r="223">
      <c r="A223" s="18" t="n">
        <v>46240</v>
      </c>
      <c r="B223" s="20" t="inlineStr">
        <is>
          <t>Giovedì</t>
        </is>
      </c>
      <c r="C223" s="20" t="inlineStr">
        <is>
          <t>Alta</t>
        </is>
      </c>
      <c r="D223" s="21" t="n">
        <v>1.4</v>
      </c>
      <c r="E223" s="21" t="n">
        <v>0.95</v>
      </c>
      <c r="F223" s="20" t="inlineStr">
        <is>
          <t>-</t>
        </is>
      </c>
      <c r="G223" s="21" t="n">
        <v>1</v>
      </c>
      <c r="H223" s="22">
        <f>$B$3*D223*E223*G223</f>
        <v/>
      </c>
      <c r="I223" s="20" t="n"/>
    </row>
    <row r="224">
      <c r="A224" s="18" t="n">
        <v>46241</v>
      </c>
      <c r="B224" s="19" t="inlineStr">
        <is>
          <t>Venerdì</t>
        </is>
      </c>
      <c r="C224" s="20" t="inlineStr">
        <is>
          <t>Alta</t>
        </is>
      </c>
      <c r="D224" s="21" t="n">
        <v>1.4</v>
      </c>
      <c r="E224" s="21" t="n">
        <v>1.1</v>
      </c>
      <c r="F224" s="20" t="inlineStr">
        <is>
          <t>-</t>
        </is>
      </c>
      <c r="G224" s="21" t="n">
        <v>1</v>
      </c>
      <c r="H224" s="22">
        <f>$B$3*D224*E224*G224</f>
        <v/>
      </c>
      <c r="I224" s="20" t="n"/>
    </row>
    <row r="225">
      <c r="A225" s="18" t="n">
        <v>46242</v>
      </c>
      <c r="B225" s="19" t="inlineStr">
        <is>
          <t>Sabato</t>
        </is>
      </c>
      <c r="C225" s="20" t="inlineStr">
        <is>
          <t>Alta</t>
        </is>
      </c>
      <c r="D225" s="21" t="n">
        <v>1.4</v>
      </c>
      <c r="E225" s="21" t="n">
        <v>1.2</v>
      </c>
      <c r="F225" s="20" t="inlineStr">
        <is>
          <t>-</t>
        </is>
      </c>
      <c r="G225" s="21" t="n">
        <v>1</v>
      </c>
      <c r="H225" s="22">
        <f>$B$3*D225*E225*G225</f>
        <v/>
      </c>
      <c r="I225" s="20" t="n"/>
    </row>
    <row r="226">
      <c r="A226" s="18" t="n">
        <v>46243</v>
      </c>
      <c r="B226" s="19" t="inlineStr">
        <is>
          <t>Domenica</t>
        </is>
      </c>
      <c r="C226" s="20" t="inlineStr">
        <is>
          <t>Alta</t>
        </is>
      </c>
      <c r="D226" s="21" t="n">
        <v>1.4</v>
      </c>
      <c r="E226" s="21" t="n">
        <v>1.05</v>
      </c>
      <c r="F226" s="20" t="inlineStr">
        <is>
          <t>-</t>
        </is>
      </c>
      <c r="G226" s="21" t="n">
        <v>1</v>
      </c>
      <c r="H226" s="22">
        <f>$B$3*D226*E226*G226</f>
        <v/>
      </c>
      <c r="I226" s="20" t="n"/>
    </row>
    <row r="227">
      <c r="A227" s="18" t="n">
        <v>46244</v>
      </c>
      <c r="B227" s="20" t="inlineStr">
        <is>
          <t>Lunedì</t>
        </is>
      </c>
      <c r="C227" s="20" t="inlineStr">
        <is>
          <t>Picco</t>
        </is>
      </c>
      <c r="D227" s="21" t="n">
        <v>1.8</v>
      </c>
      <c r="E227" s="21" t="n">
        <v>0.85</v>
      </c>
      <c r="F227" s="20" t="inlineStr">
        <is>
          <t>-</t>
        </is>
      </c>
      <c r="G227" s="21" t="n">
        <v>1</v>
      </c>
      <c r="H227" s="22">
        <f>$B$3*D227*E227*G227</f>
        <v/>
      </c>
      <c r="I227" s="20" t="n"/>
    </row>
    <row r="228">
      <c r="A228" s="18" t="n">
        <v>46245</v>
      </c>
      <c r="B228" s="20" t="inlineStr">
        <is>
          <t>Martedì</t>
        </is>
      </c>
      <c r="C228" s="20" t="inlineStr">
        <is>
          <t>Picco</t>
        </is>
      </c>
      <c r="D228" s="21" t="n">
        <v>1.8</v>
      </c>
      <c r="E228" s="21" t="n">
        <v>0.85</v>
      </c>
      <c r="F228" s="20" t="inlineStr">
        <is>
          <t>-</t>
        </is>
      </c>
      <c r="G228" s="21" t="n">
        <v>1</v>
      </c>
      <c r="H228" s="22">
        <f>$B$3*D228*E228*G228</f>
        <v/>
      </c>
      <c r="I228" s="20" t="n"/>
    </row>
    <row r="229">
      <c r="A229" s="18" t="n">
        <v>46246</v>
      </c>
      <c r="B229" s="20" t="inlineStr">
        <is>
          <t>Mercoledì</t>
        </is>
      </c>
      <c r="C229" s="20" t="inlineStr">
        <is>
          <t>Picco</t>
        </is>
      </c>
      <c r="D229" s="21" t="n">
        <v>1.8</v>
      </c>
      <c r="E229" s="21" t="n">
        <v>0.9</v>
      </c>
      <c r="F229" s="20" t="inlineStr">
        <is>
          <t>-</t>
        </is>
      </c>
      <c r="G229" s="21" t="n">
        <v>1</v>
      </c>
      <c r="H229" s="22">
        <f>$B$3*D229*E229*G229</f>
        <v/>
      </c>
      <c r="I229" s="20" t="n"/>
    </row>
    <row r="230">
      <c r="A230" s="18" t="n">
        <v>46247</v>
      </c>
      <c r="B230" s="20" t="inlineStr">
        <is>
          <t>Giovedì</t>
        </is>
      </c>
      <c r="C230" s="20" t="inlineStr">
        <is>
          <t>Picco</t>
        </is>
      </c>
      <c r="D230" s="21" t="n">
        <v>1.8</v>
      </c>
      <c r="E230" s="21" t="n">
        <v>0.95</v>
      </c>
      <c r="F230" s="20" t="inlineStr">
        <is>
          <t>-</t>
        </is>
      </c>
      <c r="G230" s="21" t="n">
        <v>1</v>
      </c>
      <c r="H230" s="22">
        <f>$B$3*D230*E230*G230</f>
        <v/>
      </c>
      <c r="I230" s="20" t="n"/>
    </row>
    <row r="231">
      <c r="A231" s="14" t="n">
        <v>46248</v>
      </c>
      <c r="B231" s="15" t="inlineStr">
        <is>
          <t>Venerdì</t>
        </is>
      </c>
      <c r="C231" s="15" t="inlineStr">
        <is>
          <t>Picco</t>
        </is>
      </c>
      <c r="D231" s="16" t="n">
        <v>1.8</v>
      </c>
      <c r="E231" s="16" t="n">
        <v>1.1</v>
      </c>
      <c r="F231" s="15" t="inlineStr">
        <is>
          <t>Pre-Ferragosto</t>
        </is>
      </c>
      <c r="G231" s="16" t="n">
        <v>1.8</v>
      </c>
      <c r="H231" s="17">
        <f>$B$3*D231*E231*G231</f>
        <v/>
      </c>
      <c r="I231" s="15" t="n"/>
    </row>
    <row r="232">
      <c r="A232" s="14" t="n">
        <v>46249</v>
      </c>
      <c r="B232" s="15" t="inlineStr">
        <is>
          <t>Sabato</t>
        </is>
      </c>
      <c r="C232" s="15" t="inlineStr">
        <is>
          <t>Picco</t>
        </is>
      </c>
      <c r="D232" s="16" t="n">
        <v>1.8</v>
      </c>
      <c r="E232" s="16" t="n">
        <v>1.2</v>
      </c>
      <c r="F232" s="15" t="inlineStr">
        <is>
          <t>FERRAGOSTO</t>
        </is>
      </c>
      <c r="G232" s="16" t="n">
        <v>2</v>
      </c>
      <c r="H232" s="17">
        <f>$B$3*D232*E232*G232</f>
        <v/>
      </c>
      <c r="I232" s="15" t="n"/>
    </row>
    <row r="233">
      <c r="A233" s="14" t="n">
        <v>46250</v>
      </c>
      <c r="B233" s="15" t="inlineStr">
        <is>
          <t>Domenica</t>
        </is>
      </c>
      <c r="C233" s="15" t="inlineStr">
        <is>
          <t>Picco</t>
        </is>
      </c>
      <c r="D233" s="16" t="n">
        <v>1.8</v>
      </c>
      <c r="E233" s="16" t="n">
        <v>1.05</v>
      </c>
      <c r="F233" s="15" t="inlineStr">
        <is>
          <t>Post-Ferragosto</t>
        </is>
      </c>
      <c r="G233" s="16" t="n">
        <v>1.8</v>
      </c>
      <c r="H233" s="17">
        <f>$B$3*D233*E233*G233</f>
        <v/>
      </c>
      <c r="I233" s="15" t="n"/>
    </row>
    <row r="234">
      <c r="A234" s="18" t="n">
        <v>46251</v>
      </c>
      <c r="B234" s="20" t="inlineStr">
        <is>
          <t>Lunedì</t>
        </is>
      </c>
      <c r="C234" s="20" t="inlineStr">
        <is>
          <t>Picco</t>
        </is>
      </c>
      <c r="D234" s="21" t="n">
        <v>1.8</v>
      </c>
      <c r="E234" s="21" t="n">
        <v>0.85</v>
      </c>
      <c r="F234" s="20" t="inlineStr">
        <is>
          <t>-</t>
        </is>
      </c>
      <c r="G234" s="21" t="n">
        <v>1</v>
      </c>
      <c r="H234" s="22">
        <f>$B$3*D234*E234*G234</f>
        <v/>
      </c>
      <c r="I234" s="20" t="n"/>
    </row>
    <row r="235">
      <c r="A235" s="18" t="n">
        <v>46252</v>
      </c>
      <c r="B235" s="20" t="inlineStr">
        <is>
          <t>Martedì</t>
        </is>
      </c>
      <c r="C235" s="20" t="inlineStr">
        <is>
          <t>Picco</t>
        </is>
      </c>
      <c r="D235" s="21" t="n">
        <v>1.8</v>
      </c>
      <c r="E235" s="21" t="n">
        <v>0.85</v>
      </c>
      <c r="F235" s="20" t="inlineStr">
        <is>
          <t>-</t>
        </is>
      </c>
      <c r="G235" s="21" t="n">
        <v>1</v>
      </c>
      <c r="H235" s="22">
        <f>$B$3*D235*E235*G235</f>
        <v/>
      </c>
      <c r="I235" s="20" t="n"/>
    </row>
    <row r="236">
      <c r="A236" s="18" t="n">
        <v>46253</v>
      </c>
      <c r="B236" s="20" t="inlineStr">
        <is>
          <t>Mercoledì</t>
        </is>
      </c>
      <c r="C236" s="20" t="inlineStr">
        <is>
          <t>Picco</t>
        </is>
      </c>
      <c r="D236" s="21" t="n">
        <v>1.8</v>
      </c>
      <c r="E236" s="21" t="n">
        <v>0.9</v>
      </c>
      <c r="F236" s="20" t="inlineStr">
        <is>
          <t>-</t>
        </is>
      </c>
      <c r="G236" s="21" t="n">
        <v>1</v>
      </c>
      <c r="H236" s="22">
        <f>$B$3*D236*E236*G236</f>
        <v/>
      </c>
      <c r="I236" s="20" t="n"/>
    </row>
    <row r="237">
      <c r="A237" s="18" t="n">
        <v>46254</v>
      </c>
      <c r="B237" s="20" t="inlineStr">
        <is>
          <t>Giovedì</t>
        </is>
      </c>
      <c r="C237" s="20" t="inlineStr">
        <is>
          <t>Picco</t>
        </is>
      </c>
      <c r="D237" s="21" t="n">
        <v>1.8</v>
      </c>
      <c r="E237" s="21" t="n">
        <v>0.95</v>
      </c>
      <c r="F237" s="20" t="inlineStr">
        <is>
          <t>-</t>
        </is>
      </c>
      <c r="G237" s="21" t="n">
        <v>1</v>
      </c>
      <c r="H237" s="22">
        <f>$B$3*D237*E237*G237</f>
        <v/>
      </c>
      <c r="I237" s="20" t="n"/>
    </row>
    <row r="238">
      <c r="A238" s="18" t="n">
        <v>46255</v>
      </c>
      <c r="B238" s="19" t="inlineStr">
        <is>
          <t>Venerdì</t>
        </is>
      </c>
      <c r="C238" s="20" t="inlineStr">
        <is>
          <t>Alta</t>
        </is>
      </c>
      <c r="D238" s="21" t="n">
        <v>1.4</v>
      </c>
      <c r="E238" s="21" t="n">
        <v>1.1</v>
      </c>
      <c r="F238" s="20" t="inlineStr">
        <is>
          <t>-</t>
        </is>
      </c>
      <c r="G238" s="21" t="n">
        <v>1</v>
      </c>
      <c r="H238" s="22">
        <f>$B$3*D238*E238*G238</f>
        <v/>
      </c>
      <c r="I238" s="20" t="n"/>
    </row>
    <row r="239">
      <c r="A239" s="18" t="n">
        <v>46256</v>
      </c>
      <c r="B239" s="19" t="inlineStr">
        <is>
          <t>Sabato</t>
        </is>
      </c>
      <c r="C239" s="20" t="inlineStr">
        <is>
          <t>Alta</t>
        </is>
      </c>
      <c r="D239" s="21" t="n">
        <v>1.4</v>
      </c>
      <c r="E239" s="21" t="n">
        <v>1.2</v>
      </c>
      <c r="F239" s="20" t="inlineStr">
        <is>
          <t>-</t>
        </is>
      </c>
      <c r="G239" s="21" t="n">
        <v>1</v>
      </c>
      <c r="H239" s="22">
        <f>$B$3*D239*E239*G239</f>
        <v/>
      </c>
      <c r="I239" s="20" t="n"/>
    </row>
    <row r="240">
      <c r="A240" s="18" t="n">
        <v>46257</v>
      </c>
      <c r="B240" s="19" t="inlineStr">
        <is>
          <t>Domenica</t>
        </is>
      </c>
      <c r="C240" s="20" t="inlineStr">
        <is>
          <t>Alta</t>
        </is>
      </c>
      <c r="D240" s="21" t="n">
        <v>1.4</v>
      </c>
      <c r="E240" s="21" t="n">
        <v>1.05</v>
      </c>
      <c r="F240" s="20" t="inlineStr">
        <is>
          <t>-</t>
        </is>
      </c>
      <c r="G240" s="21" t="n">
        <v>1</v>
      </c>
      <c r="H240" s="22">
        <f>$B$3*D240*E240*G240</f>
        <v/>
      </c>
      <c r="I240" s="20" t="n"/>
    </row>
    <row r="241">
      <c r="A241" s="18" t="n">
        <v>46258</v>
      </c>
      <c r="B241" s="20" t="inlineStr">
        <is>
          <t>Lunedì</t>
        </is>
      </c>
      <c r="C241" s="20" t="inlineStr">
        <is>
          <t>Alta</t>
        </is>
      </c>
      <c r="D241" s="21" t="n">
        <v>1.4</v>
      </c>
      <c r="E241" s="21" t="n">
        <v>0.85</v>
      </c>
      <c r="F241" s="20" t="inlineStr">
        <is>
          <t>-</t>
        </is>
      </c>
      <c r="G241" s="21" t="n">
        <v>1</v>
      </c>
      <c r="H241" s="22">
        <f>$B$3*D241*E241*G241</f>
        <v/>
      </c>
      <c r="I241" s="20" t="n"/>
    </row>
    <row r="242">
      <c r="A242" s="18" t="n">
        <v>46259</v>
      </c>
      <c r="B242" s="20" t="inlineStr">
        <is>
          <t>Martedì</t>
        </is>
      </c>
      <c r="C242" s="20" t="inlineStr">
        <is>
          <t>Alta</t>
        </is>
      </c>
      <c r="D242" s="21" t="n">
        <v>1.4</v>
      </c>
      <c r="E242" s="21" t="n">
        <v>0.85</v>
      </c>
      <c r="F242" s="20" t="inlineStr">
        <is>
          <t>-</t>
        </is>
      </c>
      <c r="G242" s="21" t="n">
        <v>1</v>
      </c>
      <c r="H242" s="22">
        <f>$B$3*D242*E242*G242</f>
        <v/>
      </c>
      <c r="I242" s="20" t="n"/>
    </row>
    <row r="243">
      <c r="A243" s="18" t="n">
        <v>46260</v>
      </c>
      <c r="B243" s="20" t="inlineStr">
        <is>
          <t>Mercoledì</t>
        </is>
      </c>
      <c r="C243" s="20" t="inlineStr">
        <is>
          <t>Alta</t>
        </is>
      </c>
      <c r="D243" s="21" t="n">
        <v>1.4</v>
      </c>
      <c r="E243" s="21" t="n">
        <v>0.9</v>
      </c>
      <c r="F243" s="20" t="inlineStr">
        <is>
          <t>-</t>
        </is>
      </c>
      <c r="G243" s="21" t="n">
        <v>1</v>
      </c>
      <c r="H243" s="22">
        <f>$B$3*D243*E243*G243</f>
        <v/>
      </c>
      <c r="I243" s="20" t="n"/>
    </row>
    <row r="244">
      <c r="A244" s="18" t="n">
        <v>46261</v>
      </c>
      <c r="B244" s="20" t="inlineStr">
        <is>
          <t>Giovedì</t>
        </is>
      </c>
      <c r="C244" s="20" t="inlineStr">
        <is>
          <t>Alta</t>
        </is>
      </c>
      <c r="D244" s="21" t="n">
        <v>1.4</v>
      </c>
      <c r="E244" s="21" t="n">
        <v>0.95</v>
      </c>
      <c r="F244" s="20" t="inlineStr">
        <is>
          <t>-</t>
        </is>
      </c>
      <c r="G244" s="21" t="n">
        <v>1</v>
      </c>
      <c r="H244" s="22">
        <f>$B$3*D244*E244*G244</f>
        <v/>
      </c>
      <c r="I244" s="20" t="n"/>
    </row>
    <row r="245">
      <c r="A245" s="18" t="n">
        <v>46262</v>
      </c>
      <c r="B245" s="19" t="inlineStr">
        <is>
          <t>Venerdì</t>
        </is>
      </c>
      <c r="C245" s="20" t="inlineStr">
        <is>
          <t>Alta</t>
        </is>
      </c>
      <c r="D245" s="21" t="n">
        <v>1.4</v>
      </c>
      <c r="E245" s="21" t="n">
        <v>1.1</v>
      </c>
      <c r="F245" s="20" t="inlineStr">
        <is>
          <t>-</t>
        </is>
      </c>
      <c r="G245" s="21" t="n">
        <v>1</v>
      </c>
      <c r="H245" s="22">
        <f>$B$3*D245*E245*G245</f>
        <v/>
      </c>
      <c r="I245" s="20" t="n"/>
    </row>
    <row r="246">
      <c r="A246" s="18" t="n">
        <v>46263</v>
      </c>
      <c r="B246" s="19" t="inlineStr">
        <is>
          <t>Sabato</t>
        </is>
      </c>
      <c r="C246" s="20" t="inlineStr">
        <is>
          <t>Alta</t>
        </is>
      </c>
      <c r="D246" s="21" t="n">
        <v>1.4</v>
      </c>
      <c r="E246" s="21" t="n">
        <v>1.2</v>
      </c>
      <c r="F246" s="20" t="inlineStr">
        <is>
          <t>-</t>
        </is>
      </c>
      <c r="G246" s="21" t="n">
        <v>1</v>
      </c>
      <c r="H246" s="22">
        <f>$B$3*D246*E246*G246</f>
        <v/>
      </c>
      <c r="I246" s="20" t="n"/>
    </row>
    <row r="247">
      <c r="A247" s="18" t="n">
        <v>46264</v>
      </c>
      <c r="B247" s="19" t="inlineStr">
        <is>
          <t>Domenica</t>
        </is>
      </c>
      <c r="C247" s="20" t="inlineStr">
        <is>
          <t>Alta</t>
        </is>
      </c>
      <c r="D247" s="21" t="n">
        <v>1.4</v>
      </c>
      <c r="E247" s="21" t="n">
        <v>1.05</v>
      </c>
      <c r="F247" s="20" t="inlineStr">
        <is>
          <t>-</t>
        </is>
      </c>
      <c r="G247" s="21" t="n">
        <v>1</v>
      </c>
      <c r="H247" s="22">
        <f>$B$3*D247*E247*G247</f>
        <v/>
      </c>
      <c r="I247" s="20" t="n"/>
    </row>
    <row r="248">
      <c r="A248" s="18" t="n">
        <v>46265</v>
      </c>
      <c r="B248" s="20" t="inlineStr">
        <is>
          <t>Lunedì</t>
        </is>
      </c>
      <c r="C248" s="20" t="inlineStr">
        <is>
          <t>Alta</t>
        </is>
      </c>
      <c r="D248" s="21" t="n">
        <v>1.4</v>
      </c>
      <c r="E248" s="21" t="n">
        <v>0.85</v>
      </c>
      <c r="F248" s="20" t="inlineStr">
        <is>
          <t>-</t>
        </is>
      </c>
      <c r="G248" s="21" t="n">
        <v>1</v>
      </c>
      <c r="H248" s="22">
        <f>$B$3*D248*E248*G248</f>
        <v/>
      </c>
      <c r="I248" s="20" t="n"/>
    </row>
    <row r="249">
      <c r="A249" s="18" t="n">
        <v>46266</v>
      </c>
      <c r="B249" s="20" t="inlineStr">
        <is>
          <t>Martedì</t>
        </is>
      </c>
      <c r="C249" s="20" t="inlineStr">
        <is>
          <t>Alta</t>
        </is>
      </c>
      <c r="D249" s="21" t="n">
        <v>1.4</v>
      </c>
      <c r="E249" s="21" t="n">
        <v>0.85</v>
      </c>
      <c r="F249" s="20" t="inlineStr">
        <is>
          <t>-</t>
        </is>
      </c>
      <c r="G249" s="21" t="n">
        <v>1</v>
      </c>
      <c r="H249" s="22">
        <f>$B$3*D249*E249*G249</f>
        <v/>
      </c>
      <c r="I249" s="20" t="n"/>
    </row>
    <row r="250">
      <c r="A250" s="18" t="n">
        <v>46267</v>
      </c>
      <c r="B250" s="20" t="inlineStr">
        <is>
          <t>Mercoledì</t>
        </is>
      </c>
      <c r="C250" s="20" t="inlineStr">
        <is>
          <t>Alta</t>
        </is>
      </c>
      <c r="D250" s="21" t="n">
        <v>1.4</v>
      </c>
      <c r="E250" s="21" t="n">
        <v>0.9</v>
      </c>
      <c r="F250" s="20" t="inlineStr">
        <is>
          <t>-</t>
        </is>
      </c>
      <c r="G250" s="21" t="n">
        <v>1</v>
      </c>
      <c r="H250" s="22">
        <f>$B$3*D250*E250*G250</f>
        <v/>
      </c>
      <c r="I250" s="20" t="n"/>
    </row>
    <row r="251">
      <c r="A251" s="18" t="n">
        <v>46268</v>
      </c>
      <c r="B251" s="20" t="inlineStr">
        <is>
          <t>Giovedì</t>
        </is>
      </c>
      <c r="C251" s="20" t="inlineStr">
        <is>
          <t>Alta</t>
        </is>
      </c>
      <c r="D251" s="21" t="n">
        <v>1.4</v>
      </c>
      <c r="E251" s="21" t="n">
        <v>0.95</v>
      </c>
      <c r="F251" s="20" t="inlineStr">
        <is>
          <t>-</t>
        </is>
      </c>
      <c r="G251" s="21" t="n">
        <v>1</v>
      </c>
      <c r="H251" s="22">
        <f>$B$3*D251*E251*G251</f>
        <v/>
      </c>
      <c r="I251" s="20" t="n"/>
    </row>
    <row r="252">
      <c r="A252" s="18" t="n">
        <v>46269</v>
      </c>
      <c r="B252" s="19" t="inlineStr">
        <is>
          <t>Venerdì</t>
        </is>
      </c>
      <c r="C252" s="20" t="inlineStr">
        <is>
          <t>Alta</t>
        </is>
      </c>
      <c r="D252" s="21" t="n">
        <v>1.4</v>
      </c>
      <c r="E252" s="21" t="n">
        <v>1.1</v>
      </c>
      <c r="F252" s="20" t="inlineStr">
        <is>
          <t>-</t>
        </is>
      </c>
      <c r="G252" s="21" t="n">
        <v>1</v>
      </c>
      <c r="H252" s="22">
        <f>$B$3*D252*E252*G252</f>
        <v/>
      </c>
      <c r="I252" s="20" t="n"/>
    </row>
    <row r="253">
      <c r="A253" s="18" t="n">
        <v>46270</v>
      </c>
      <c r="B253" s="19" t="inlineStr">
        <is>
          <t>Sabato</t>
        </is>
      </c>
      <c r="C253" s="20" t="inlineStr">
        <is>
          <t>Alta</t>
        </is>
      </c>
      <c r="D253" s="21" t="n">
        <v>1.4</v>
      </c>
      <c r="E253" s="21" t="n">
        <v>1.2</v>
      </c>
      <c r="F253" s="20" t="inlineStr">
        <is>
          <t>-</t>
        </is>
      </c>
      <c r="G253" s="21" t="n">
        <v>1</v>
      </c>
      <c r="H253" s="22">
        <f>$B$3*D253*E253*G253</f>
        <v/>
      </c>
      <c r="I253" s="20" t="n"/>
    </row>
    <row r="254">
      <c r="A254" s="18" t="n">
        <v>46271</v>
      </c>
      <c r="B254" s="19" t="inlineStr">
        <is>
          <t>Domenica</t>
        </is>
      </c>
      <c r="C254" s="20" t="inlineStr">
        <is>
          <t>Alta</t>
        </is>
      </c>
      <c r="D254" s="21" t="n">
        <v>1.4</v>
      </c>
      <c r="E254" s="21" t="n">
        <v>1.05</v>
      </c>
      <c r="F254" s="20" t="inlineStr">
        <is>
          <t>-</t>
        </is>
      </c>
      <c r="G254" s="21" t="n">
        <v>1</v>
      </c>
      <c r="H254" s="22">
        <f>$B$3*D254*E254*G254</f>
        <v/>
      </c>
      <c r="I254" s="20" t="n"/>
    </row>
    <row r="255">
      <c r="A255" s="18" t="n">
        <v>46272</v>
      </c>
      <c r="B255" s="20" t="inlineStr">
        <is>
          <t>Lunedì</t>
        </is>
      </c>
      <c r="C255" s="20" t="inlineStr">
        <is>
          <t>Alta</t>
        </is>
      </c>
      <c r="D255" s="21" t="n">
        <v>1.4</v>
      </c>
      <c r="E255" s="21" t="n">
        <v>0.85</v>
      </c>
      <c r="F255" s="20" t="inlineStr">
        <is>
          <t>-</t>
        </is>
      </c>
      <c r="G255" s="21" t="n">
        <v>1</v>
      </c>
      <c r="H255" s="22">
        <f>$B$3*D255*E255*G255</f>
        <v/>
      </c>
      <c r="I255" s="20" t="n"/>
    </row>
    <row r="256">
      <c r="A256" s="18" t="n">
        <v>46273</v>
      </c>
      <c r="B256" s="20" t="inlineStr">
        <is>
          <t>Martedì</t>
        </is>
      </c>
      <c r="C256" s="20" t="inlineStr">
        <is>
          <t>Alta</t>
        </is>
      </c>
      <c r="D256" s="21" t="n">
        <v>1.4</v>
      </c>
      <c r="E256" s="21" t="n">
        <v>0.85</v>
      </c>
      <c r="F256" s="20" t="inlineStr">
        <is>
          <t>-</t>
        </is>
      </c>
      <c r="G256" s="21" t="n">
        <v>1</v>
      </c>
      <c r="H256" s="22">
        <f>$B$3*D256*E256*G256</f>
        <v/>
      </c>
      <c r="I256" s="20" t="n"/>
    </row>
    <row r="257">
      <c r="A257" s="18" t="n">
        <v>46274</v>
      </c>
      <c r="B257" s="20" t="inlineStr">
        <is>
          <t>Mercoledì</t>
        </is>
      </c>
      <c r="C257" s="20" t="inlineStr">
        <is>
          <t>Alta</t>
        </is>
      </c>
      <c r="D257" s="21" t="n">
        <v>1.4</v>
      </c>
      <c r="E257" s="21" t="n">
        <v>0.9</v>
      </c>
      <c r="F257" s="20" t="inlineStr">
        <is>
          <t>-</t>
        </is>
      </c>
      <c r="G257" s="21" t="n">
        <v>1</v>
      </c>
      <c r="H257" s="22">
        <f>$B$3*D257*E257*G257</f>
        <v/>
      </c>
      <c r="I257" s="20" t="n"/>
    </row>
    <row r="258">
      <c r="A258" s="18" t="n">
        <v>46275</v>
      </c>
      <c r="B258" s="20" t="inlineStr">
        <is>
          <t>Giovedì</t>
        </is>
      </c>
      <c r="C258" s="20" t="inlineStr">
        <is>
          <t>Alta</t>
        </is>
      </c>
      <c r="D258" s="21" t="n">
        <v>1.4</v>
      </c>
      <c r="E258" s="21" t="n">
        <v>0.95</v>
      </c>
      <c r="F258" s="20" t="inlineStr">
        <is>
          <t>-</t>
        </is>
      </c>
      <c r="G258" s="21" t="n">
        <v>1</v>
      </c>
      <c r="H258" s="22">
        <f>$B$3*D258*E258*G258</f>
        <v/>
      </c>
      <c r="I258" s="20" t="n"/>
    </row>
    <row r="259">
      <c r="A259" s="18" t="n">
        <v>46276</v>
      </c>
      <c r="B259" s="19" t="inlineStr">
        <is>
          <t>Venerdì</t>
        </is>
      </c>
      <c r="C259" s="20" t="inlineStr">
        <is>
          <t>Alta</t>
        </is>
      </c>
      <c r="D259" s="21" t="n">
        <v>1.4</v>
      </c>
      <c r="E259" s="21" t="n">
        <v>1.1</v>
      </c>
      <c r="F259" s="20" t="inlineStr">
        <is>
          <t>-</t>
        </is>
      </c>
      <c r="G259" s="21" t="n">
        <v>1</v>
      </c>
      <c r="H259" s="22">
        <f>$B$3*D259*E259*G259</f>
        <v/>
      </c>
      <c r="I259" s="20" t="n"/>
    </row>
    <row r="260">
      <c r="A260" s="18" t="n">
        <v>46277</v>
      </c>
      <c r="B260" s="19" t="inlineStr">
        <is>
          <t>Sabato</t>
        </is>
      </c>
      <c r="C260" s="20" t="inlineStr">
        <is>
          <t>Alta</t>
        </is>
      </c>
      <c r="D260" s="21" t="n">
        <v>1.4</v>
      </c>
      <c r="E260" s="21" t="n">
        <v>1.2</v>
      </c>
      <c r="F260" s="20" t="inlineStr">
        <is>
          <t>-</t>
        </is>
      </c>
      <c r="G260" s="21" t="n">
        <v>1</v>
      </c>
      <c r="H260" s="22">
        <f>$B$3*D260*E260*G260</f>
        <v/>
      </c>
      <c r="I260" s="20" t="n"/>
    </row>
    <row r="261">
      <c r="A261" s="18" t="n">
        <v>46278</v>
      </c>
      <c r="B261" s="19" t="inlineStr">
        <is>
          <t>Domenica</t>
        </is>
      </c>
      <c r="C261" s="20" t="inlineStr">
        <is>
          <t>Alta</t>
        </is>
      </c>
      <c r="D261" s="21" t="n">
        <v>1.4</v>
      </c>
      <c r="E261" s="21" t="n">
        <v>1.05</v>
      </c>
      <c r="F261" s="20" t="inlineStr">
        <is>
          <t>-</t>
        </is>
      </c>
      <c r="G261" s="21" t="n">
        <v>1</v>
      </c>
      <c r="H261" s="22">
        <f>$B$3*D261*E261*G261</f>
        <v/>
      </c>
      <c r="I261" s="20" t="n"/>
    </row>
    <row r="262">
      <c r="A262" s="18" t="n">
        <v>46279</v>
      </c>
      <c r="B262" s="20" t="inlineStr">
        <is>
          <t>Lunedì</t>
        </is>
      </c>
      <c r="C262" s="20" t="inlineStr">
        <is>
          <t>Alta</t>
        </is>
      </c>
      <c r="D262" s="21" t="n">
        <v>1.4</v>
      </c>
      <c r="E262" s="21" t="n">
        <v>0.85</v>
      </c>
      <c r="F262" s="20" t="inlineStr">
        <is>
          <t>-</t>
        </is>
      </c>
      <c r="G262" s="21" t="n">
        <v>1</v>
      </c>
      <c r="H262" s="22">
        <f>$B$3*D262*E262*G262</f>
        <v/>
      </c>
      <c r="I262" s="20" t="n"/>
    </row>
    <row r="263">
      <c r="A263" s="18" t="n">
        <v>46280</v>
      </c>
      <c r="B263" s="20" t="inlineStr">
        <is>
          <t>Martedì</t>
        </is>
      </c>
      <c r="C263" s="20" t="inlineStr">
        <is>
          <t>Alta</t>
        </is>
      </c>
      <c r="D263" s="21" t="n">
        <v>1.4</v>
      </c>
      <c r="E263" s="21" t="n">
        <v>0.85</v>
      </c>
      <c r="F263" s="20" t="inlineStr">
        <is>
          <t>-</t>
        </is>
      </c>
      <c r="G263" s="21" t="n">
        <v>1</v>
      </c>
      <c r="H263" s="22">
        <f>$B$3*D263*E263*G263</f>
        <v/>
      </c>
      <c r="I263" s="20" t="n"/>
    </row>
    <row r="264">
      <c r="A264" s="18" t="n">
        <v>46281</v>
      </c>
      <c r="B264" s="20" t="inlineStr">
        <is>
          <t>Mercoledì</t>
        </is>
      </c>
      <c r="C264" s="20" t="inlineStr">
        <is>
          <t>Alta</t>
        </is>
      </c>
      <c r="D264" s="21" t="n">
        <v>1.4</v>
      </c>
      <c r="E264" s="21" t="n">
        <v>0.9</v>
      </c>
      <c r="F264" s="20" t="inlineStr">
        <is>
          <t>-</t>
        </is>
      </c>
      <c r="G264" s="21" t="n">
        <v>1</v>
      </c>
      <c r="H264" s="22">
        <f>$B$3*D264*E264*G264</f>
        <v/>
      </c>
      <c r="I264" s="20" t="n"/>
    </row>
    <row r="265">
      <c r="A265" s="18" t="n">
        <v>46282</v>
      </c>
      <c r="B265" s="20" t="inlineStr">
        <is>
          <t>Giovedì</t>
        </is>
      </c>
      <c r="C265" s="20" t="inlineStr">
        <is>
          <t>Alta</t>
        </is>
      </c>
      <c r="D265" s="21" t="n">
        <v>1.4</v>
      </c>
      <c r="E265" s="21" t="n">
        <v>0.95</v>
      </c>
      <c r="F265" s="20" t="inlineStr">
        <is>
          <t>-</t>
        </is>
      </c>
      <c r="G265" s="21" t="n">
        <v>1</v>
      </c>
      <c r="H265" s="22">
        <f>$B$3*D265*E265*G265</f>
        <v/>
      </c>
      <c r="I265" s="20" t="n"/>
    </row>
    <row r="266">
      <c r="A266" s="18" t="n">
        <v>46283</v>
      </c>
      <c r="B266" s="19" t="inlineStr">
        <is>
          <t>Venerdì</t>
        </is>
      </c>
      <c r="C266" s="20" t="inlineStr">
        <is>
          <t>Alta</t>
        </is>
      </c>
      <c r="D266" s="21" t="n">
        <v>1.4</v>
      </c>
      <c r="E266" s="21" t="n">
        <v>1.1</v>
      </c>
      <c r="F266" s="20" t="inlineStr">
        <is>
          <t>-</t>
        </is>
      </c>
      <c r="G266" s="21" t="n">
        <v>1</v>
      </c>
      <c r="H266" s="22">
        <f>$B$3*D266*E266*G266</f>
        <v/>
      </c>
      <c r="I266" s="20" t="n"/>
    </row>
    <row r="267">
      <c r="A267" s="18" t="n">
        <v>46284</v>
      </c>
      <c r="B267" s="19" t="inlineStr">
        <is>
          <t>Sabato</t>
        </is>
      </c>
      <c r="C267" s="20" t="inlineStr">
        <is>
          <t>Alta</t>
        </is>
      </c>
      <c r="D267" s="21" t="n">
        <v>1.4</v>
      </c>
      <c r="E267" s="21" t="n">
        <v>1.2</v>
      </c>
      <c r="F267" s="20" t="inlineStr">
        <is>
          <t>-</t>
        </is>
      </c>
      <c r="G267" s="21" t="n">
        <v>1</v>
      </c>
      <c r="H267" s="22">
        <f>$B$3*D267*E267*G267</f>
        <v/>
      </c>
      <c r="I267" s="20" t="n"/>
    </row>
    <row r="268">
      <c r="A268" s="18" t="n">
        <v>46285</v>
      </c>
      <c r="B268" s="19" t="inlineStr">
        <is>
          <t>Domenica</t>
        </is>
      </c>
      <c r="C268" s="20" t="inlineStr">
        <is>
          <t>Alta</t>
        </is>
      </c>
      <c r="D268" s="21" t="n">
        <v>1.4</v>
      </c>
      <c r="E268" s="21" t="n">
        <v>1.05</v>
      </c>
      <c r="F268" s="20" t="inlineStr">
        <is>
          <t>-</t>
        </is>
      </c>
      <c r="G268" s="21" t="n">
        <v>1</v>
      </c>
      <c r="H268" s="22">
        <f>$B$3*D268*E268*G268</f>
        <v/>
      </c>
      <c r="I268" s="20" t="n"/>
    </row>
    <row r="269">
      <c r="A269" s="18" t="n">
        <v>46286</v>
      </c>
      <c r="B269" s="20" t="inlineStr">
        <is>
          <t>Lunedì</t>
        </is>
      </c>
      <c r="C269" s="20" t="inlineStr">
        <is>
          <t>Alta</t>
        </is>
      </c>
      <c r="D269" s="21" t="n">
        <v>1.4</v>
      </c>
      <c r="E269" s="21" t="n">
        <v>0.85</v>
      </c>
      <c r="F269" s="20" t="inlineStr">
        <is>
          <t>-</t>
        </is>
      </c>
      <c r="G269" s="21" t="n">
        <v>1</v>
      </c>
      <c r="H269" s="22">
        <f>$B$3*D269*E269*G269</f>
        <v/>
      </c>
      <c r="I269" s="20" t="n"/>
    </row>
    <row r="270">
      <c r="A270" s="18" t="n">
        <v>46287</v>
      </c>
      <c r="B270" s="20" t="inlineStr">
        <is>
          <t>Martedì</t>
        </is>
      </c>
      <c r="C270" s="20" t="inlineStr">
        <is>
          <t>Alta</t>
        </is>
      </c>
      <c r="D270" s="21" t="n">
        <v>1.4</v>
      </c>
      <c r="E270" s="21" t="n">
        <v>0.85</v>
      </c>
      <c r="F270" s="20" t="inlineStr">
        <is>
          <t>-</t>
        </is>
      </c>
      <c r="G270" s="21" t="n">
        <v>1</v>
      </c>
      <c r="H270" s="22">
        <f>$B$3*D270*E270*G270</f>
        <v/>
      </c>
      <c r="I270" s="20" t="n"/>
    </row>
    <row r="271">
      <c r="A271" s="18" t="n">
        <v>46288</v>
      </c>
      <c r="B271" s="20" t="inlineStr">
        <is>
          <t>Mercoledì</t>
        </is>
      </c>
      <c r="C271" s="20" t="inlineStr">
        <is>
          <t>Alta</t>
        </is>
      </c>
      <c r="D271" s="21" t="n">
        <v>1.4</v>
      </c>
      <c r="E271" s="21" t="n">
        <v>0.9</v>
      </c>
      <c r="F271" s="20" t="inlineStr">
        <is>
          <t>-</t>
        </is>
      </c>
      <c r="G271" s="21" t="n">
        <v>1</v>
      </c>
      <c r="H271" s="22">
        <f>$B$3*D271*E271*G271</f>
        <v/>
      </c>
      <c r="I271" s="20" t="n"/>
    </row>
    <row r="272">
      <c r="A272" s="18" t="n">
        <v>46289</v>
      </c>
      <c r="B272" s="20" t="inlineStr">
        <is>
          <t>Giovedì</t>
        </is>
      </c>
      <c r="C272" s="20" t="inlineStr">
        <is>
          <t>Alta</t>
        </is>
      </c>
      <c r="D272" s="21" t="n">
        <v>1.4</v>
      </c>
      <c r="E272" s="21" t="n">
        <v>0.95</v>
      </c>
      <c r="F272" s="20" t="inlineStr">
        <is>
          <t>-</t>
        </is>
      </c>
      <c r="G272" s="21" t="n">
        <v>1</v>
      </c>
      <c r="H272" s="22">
        <f>$B$3*D272*E272*G272</f>
        <v/>
      </c>
      <c r="I272" s="20" t="n"/>
    </row>
    <row r="273">
      <c r="A273" s="18" t="n">
        <v>46290</v>
      </c>
      <c r="B273" s="19" t="inlineStr">
        <is>
          <t>Venerdì</t>
        </is>
      </c>
      <c r="C273" s="20" t="inlineStr">
        <is>
          <t>Alta</t>
        </is>
      </c>
      <c r="D273" s="21" t="n">
        <v>1.4</v>
      </c>
      <c r="E273" s="21" t="n">
        <v>1.1</v>
      </c>
      <c r="F273" s="20" t="inlineStr">
        <is>
          <t>-</t>
        </is>
      </c>
      <c r="G273" s="21" t="n">
        <v>1</v>
      </c>
      <c r="H273" s="22">
        <f>$B$3*D273*E273*G273</f>
        <v/>
      </c>
      <c r="I273" s="20" t="n"/>
    </row>
    <row r="274">
      <c r="A274" s="18" t="n">
        <v>46291</v>
      </c>
      <c r="B274" s="19" t="inlineStr">
        <is>
          <t>Sabato</t>
        </is>
      </c>
      <c r="C274" s="20" t="inlineStr">
        <is>
          <t>Alta</t>
        </is>
      </c>
      <c r="D274" s="21" t="n">
        <v>1.4</v>
      </c>
      <c r="E274" s="21" t="n">
        <v>1.2</v>
      </c>
      <c r="F274" s="20" t="inlineStr">
        <is>
          <t>-</t>
        </is>
      </c>
      <c r="G274" s="21" t="n">
        <v>1</v>
      </c>
      <c r="H274" s="22">
        <f>$B$3*D274*E274*G274</f>
        <v/>
      </c>
      <c r="I274" s="20" t="n"/>
    </row>
    <row r="275">
      <c r="A275" s="18" t="n">
        <v>46292</v>
      </c>
      <c r="B275" s="19" t="inlineStr">
        <is>
          <t>Domenica</t>
        </is>
      </c>
      <c r="C275" s="20" t="inlineStr">
        <is>
          <t>Alta</t>
        </is>
      </c>
      <c r="D275" s="21" t="n">
        <v>1.4</v>
      </c>
      <c r="E275" s="21" t="n">
        <v>1.05</v>
      </c>
      <c r="F275" s="20" t="inlineStr">
        <is>
          <t>-</t>
        </is>
      </c>
      <c r="G275" s="21" t="n">
        <v>1</v>
      </c>
      <c r="H275" s="22">
        <f>$B$3*D275*E275*G275</f>
        <v/>
      </c>
      <c r="I275" s="20" t="n"/>
    </row>
    <row r="276">
      <c r="A276" s="18" t="n">
        <v>46293</v>
      </c>
      <c r="B276" s="20" t="inlineStr">
        <is>
          <t>Lunedì</t>
        </is>
      </c>
      <c r="C276" s="20" t="inlineStr">
        <is>
          <t>Alta</t>
        </is>
      </c>
      <c r="D276" s="21" t="n">
        <v>1.4</v>
      </c>
      <c r="E276" s="21" t="n">
        <v>0.85</v>
      </c>
      <c r="F276" s="20" t="inlineStr">
        <is>
          <t>-</t>
        </is>
      </c>
      <c r="G276" s="21" t="n">
        <v>1</v>
      </c>
      <c r="H276" s="22">
        <f>$B$3*D276*E276*G276</f>
        <v/>
      </c>
      <c r="I276" s="20" t="n"/>
    </row>
    <row r="277">
      <c r="A277" s="18" t="n">
        <v>46294</v>
      </c>
      <c r="B277" s="20" t="inlineStr">
        <is>
          <t>Martedì</t>
        </is>
      </c>
      <c r="C277" s="20" t="inlineStr">
        <is>
          <t>Alta</t>
        </is>
      </c>
      <c r="D277" s="21" t="n">
        <v>1.4</v>
      </c>
      <c r="E277" s="21" t="n">
        <v>0.85</v>
      </c>
      <c r="F277" s="20" t="inlineStr">
        <is>
          <t>-</t>
        </is>
      </c>
      <c r="G277" s="21" t="n">
        <v>1</v>
      </c>
      <c r="H277" s="22">
        <f>$B$3*D277*E277*G277</f>
        <v/>
      </c>
      <c r="I277" s="20" t="n"/>
    </row>
    <row r="278">
      <c r="A278" s="18" t="n">
        <v>46295</v>
      </c>
      <c r="B278" s="20" t="inlineStr">
        <is>
          <t>Mercoledì</t>
        </is>
      </c>
      <c r="C278" s="20" t="inlineStr">
        <is>
          <t>Alta</t>
        </is>
      </c>
      <c r="D278" s="21" t="n">
        <v>1.4</v>
      </c>
      <c r="E278" s="21" t="n">
        <v>0.9</v>
      </c>
      <c r="F278" s="20" t="inlineStr">
        <is>
          <t>-</t>
        </is>
      </c>
      <c r="G278" s="21" t="n">
        <v>1</v>
      </c>
      <c r="H278" s="22">
        <f>$B$3*D278*E278*G278</f>
        <v/>
      </c>
      <c r="I278" s="20" t="n"/>
    </row>
    <row r="279">
      <c r="A279" s="18" t="n">
        <v>46296</v>
      </c>
      <c r="B279" s="20" t="inlineStr">
        <is>
          <t>Giovedì</t>
        </is>
      </c>
      <c r="C279" s="20" t="inlineStr">
        <is>
          <t>Media</t>
        </is>
      </c>
      <c r="D279" s="21" t="n">
        <v>1</v>
      </c>
      <c r="E279" s="21" t="n">
        <v>0.95</v>
      </c>
      <c r="F279" s="20" t="inlineStr">
        <is>
          <t>-</t>
        </is>
      </c>
      <c r="G279" s="21" t="n">
        <v>1</v>
      </c>
      <c r="H279" s="22">
        <f>$B$3*D279*E279*G279</f>
        <v/>
      </c>
      <c r="I279" s="20" t="n"/>
    </row>
    <row r="280">
      <c r="A280" s="18" t="n">
        <v>46297</v>
      </c>
      <c r="B280" s="19" t="inlineStr">
        <is>
          <t>Venerdì</t>
        </is>
      </c>
      <c r="C280" s="20" t="inlineStr">
        <is>
          <t>Media</t>
        </is>
      </c>
      <c r="D280" s="21" t="n">
        <v>1</v>
      </c>
      <c r="E280" s="21" t="n">
        <v>1.1</v>
      </c>
      <c r="F280" s="20" t="inlineStr">
        <is>
          <t>-</t>
        </is>
      </c>
      <c r="G280" s="21" t="n">
        <v>1</v>
      </c>
      <c r="H280" s="22">
        <f>$B$3*D280*E280*G280</f>
        <v/>
      </c>
      <c r="I280" s="20" t="n"/>
    </row>
    <row r="281">
      <c r="A281" s="18" t="n">
        <v>46298</v>
      </c>
      <c r="B281" s="19" t="inlineStr">
        <is>
          <t>Sabato</t>
        </is>
      </c>
      <c r="C281" s="20" t="inlineStr">
        <is>
          <t>Media</t>
        </is>
      </c>
      <c r="D281" s="21" t="n">
        <v>1</v>
      </c>
      <c r="E281" s="21" t="n">
        <v>1.2</v>
      </c>
      <c r="F281" s="20" t="inlineStr">
        <is>
          <t>-</t>
        </is>
      </c>
      <c r="G281" s="21" t="n">
        <v>1</v>
      </c>
      <c r="H281" s="22">
        <f>$B$3*D281*E281*G281</f>
        <v/>
      </c>
      <c r="I281" s="20" t="n"/>
    </row>
    <row r="282">
      <c r="A282" s="18" t="n">
        <v>46299</v>
      </c>
      <c r="B282" s="19" t="inlineStr">
        <is>
          <t>Domenica</t>
        </is>
      </c>
      <c r="C282" s="20" t="inlineStr">
        <is>
          <t>Media</t>
        </is>
      </c>
      <c r="D282" s="21" t="n">
        <v>1</v>
      </c>
      <c r="E282" s="21" t="n">
        <v>1.05</v>
      </c>
      <c r="F282" s="20" t="inlineStr">
        <is>
          <t>-</t>
        </is>
      </c>
      <c r="G282" s="21" t="n">
        <v>1</v>
      </c>
      <c r="H282" s="22">
        <f>$B$3*D282*E282*G282</f>
        <v/>
      </c>
      <c r="I282" s="20" t="n"/>
    </row>
    <row r="283">
      <c r="A283" s="18" t="n">
        <v>46300</v>
      </c>
      <c r="B283" s="20" t="inlineStr">
        <is>
          <t>Lunedì</t>
        </is>
      </c>
      <c r="C283" s="20" t="inlineStr">
        <is>
          <t>Media</t>
        </is>
      </c>
      <c r="D283" s="21" t="n">
        <v>1</v>
      </c>
      <c r="E283" s="21" t="n">
        <v>0.85</v>
      </c>
      <c r="F283" s="20" t="inlineStr">
        <is>
          <t>-</t>
        </is>
      </c>
      <c r="G283" s="21" t="n">
        <v>1</v>
      </c>
      <c r="H283" s="22">
        <f>$B$3*D283*E283*G283</f>
        <v/>
      </c>
      <c r="I283" s="20" t="n"/>
    </row>
    <row r="284">
      <c r="A284" s="18" t="n">
        <v>46301</v>
      </c>
      <c r="B284" s="20" t="inlineStr">
        <is>
          <t>Martedì</t>
        </is>
      </c>
      <c r="C284" s="20" t="inlineStr">
        <is>
          <t>Media</t>
        </is>
      </c>
      <c r="D284" s="21" t="n">
        <v>1</v>
      </c>
      <c r="E284" s="21" t="n">
        <v>0.85</v>
      </c>
      <c r="F284" s="20" t="inlineStr">
        <is>
          <t>-</t>
        </is>
      </c>
      <c r="G284" s="21" t="n">
        <v>1</v>
      </c>
      <c r="H284" s="22">
        <f>$B$3*D284*E284*G284</f>
        <v/>
      </c>
      <c r="I284" s="20" t="n"/>
    </row>
    <row r="285">
      <c r="A285" s="18" t="n">
        <v>46302</v>
      </c>
      <c r="B285" s="20" t="inlineStr">
        <is>
          <t>Mercoledì</t>
        </is>
      </c>
      <c r="C285" s="20" t="inlineStr">
        <is>
          <t>Media</t>
        </is>
      </c>
      <c r="D285" s="21" t="n">
        <v>1</v>
      </c>
      <c r="E285" s="21" t="n">
        <v>0.9</v>
      </c>
      <c r="F285" s="20" t="inlineStr">
        <is>
          <t>-</t>
        </is>
      </c>
      <c r="G285" s="21" t="n">
        <v>1</v>
      </c>
      <c r="H285" s="22">
        <f>$B$3*D285*E285*G285</f>
        <v/>
      </c>
      <c r="I285" s="20" t="n"/>
    </row>
    <row r="286">
      <c r="A286" s="18" t="n">
        <v>46303</v>
      </c>
      <c r="B286" s="20" t="inlineStr">
        <is>
          <t>Giovedì</t>
        </is>
      </c>
      <c r="C286" s="20" t="inlineStr">
        <is>
          <t>Media</t>
        </is>
      </c>
      <c r="D286" s="21" t="n">
        <v>1</v>
      </c>
      <c r="E286" s="21" t="n">
        <v>0.95</v>
      </c>
      <c r="F286" s="20" t="inlineStr">
        <is>
          <t>-</t>
        </is>
      </c>
      <c r="G286" s="21" t="n">
        <v>1</v>
      </c>
      <c r="H286" s="22">
        <f>$B$3*D286*E286*G286</f>
        <v/>
      </c>
      <c r="I286" s="20" t="n"/>
    </row>
    <row r="287">
      <c r="A287" s="18" t="n">
        <v>46304</v>
      </c>
      <c r="B287" s="19" t="inlineStr">
        <is>
          <t>Venerdì</t>
        </is>
      </c>
      <c r="C287" s="20" t="inlineStr">
        <is>
          <t>Media</t>
        </is>
      </c>
      <c r="D287" s="21" t="n">
        <v>1</v>
      </c>
      <c r="E287" s="21" t="n">
        <v>1.1</v>
      </c>
      <c r="F287" s="20" t="inlineStr">
        <is>
          <t>-</t>
        </is>
      </c>
      <c r="G287" s="21" t="n">
        <v>1</v>
      </c>
      <c r="H287" s="22">
        <f>$B$3*D287*E287*G287</f>
        <v/>
      </c>
      <c r="I287" s="20" t="n"/>
    </row>
    <row r="288">
      <c r="A288" s="18" t="n">
        <v>46305</v>
      </c>
      <c r="B288" s="19" t="inlineStr">
        <is>
          <t>Sabato</t>
        </is>
      </c>
      <c r="C288" s="20" t="inlineStr">
        <is>
          <t>Media</t>
        </is>
      </c>
      <c r="D288" s="21" t="n">
        <v>1</v>
      </c>
      <c r="E288" s="21" t="n">
        <v>1.2</v>
      </c>
      <c r="F288" s="20" t="inlineStr">
        <is>
          <t>-</t>
        </is>
      </c>
      <c r="G288" s="21" t="n">
        <v>1</v>
      </c>
      <c r="H288" s="22">
        <f>$B$3*D288*E288*G288</f>
        <v/>
      </c>
      <c r="I288" s="20" t="n"/>
    </row>
    <row r="289">
      <c r="A289" s="18" t="n">
        <v>46306</v>
      </c>
      <c r="B289" s="19" t="inlineStr">
        <is>
          <t>Domenica</t>
        </is>
      </c>
      <c r="C289" s="20" t="inlineStr">
        <is>
          <t>Media</t>
        </is>
      </c>
      <c r="D289" s="21" t="n">
        <v>1</v>
      </c>
      <c r="E289" s="21" t="n">
        <v>1.05</v>
      </c>
      <c r="F289" s="20" t="inlineStr">
        <is>
          <t>-</t>
        </is>
      </c>
      <c r="G289" s="21" t="n">
        <v>1</v>
      </c>
      <c r="H289" s="22">
        <f>$B$3*D289*E289*G289</f>
        <v/>
      </c>
      <c r="I289" s="20" t="n"/>
    </row>
    <row r="290">
      <c r="A290" s="18" t="n">
        <v>46307</v>
      </c>
      <c r="B290" s="20" t="inlineStr">
        <is>
          <t>Lunedì</t>
        </is>
      </c>
      <c r="C290" s="20" t="inlineStr">
        <is>
          <t>Media</t>
        </is>
      </c>
      <c r="D290" s="21" t="n">
        <v>1</v>
      </c>
      <c r="E290" s="21" t="n">
        <v>0.85</v>
      </c>
      <c r="F290" s="20" t="inlineStr">
        <is>
          <t>-</t>
        </is>
      </c>
      <c r="G290" s="21" t="n">
        <v>1</v>
      </c>
      <c r="H290" s="22">
        <f>$B$3*D290*E290*G290</f>
        <v/>
      </c>
      <c r="I290" s="20" t="n"/>
    </row>
    <row r="291">
      <c r="A291" s="18" t="n">
        <v>46308</v>
      </c>
      <c r="B291" s="20" t="inlineStr">
        <is>
          <t>Martedì</t>
        </is>
      </c>
      <c r="C291" s="20" t="inlineStr">
        <is>
          <t>Media</t>
        </is>
      </c>
      <c r="D291" s="21" t="n">
        <v>1</v>
      </c>
      <c r="E291" s="21" t="n">
        <v>0.85</v>
      </c>
      <c r="F291" s="20" t="inlineStr">
        <is>
          <t>-</t>
        </is>
      </c>
      <c r="G291" s="21" t="n">
        <v>1</v>
      </c>
      <c r="H291" s="22">
        <f>$B$3*D291*E291*G291</f>
        <v/>
      </c>
      <c r="I291" s="20" t="n"/>
    </row>
    <row r="292">
      <c r="A292" s="18" t="n">
        <v>46309</v>
      </c>
      <c r="B292" s="20" t="inlineStr">
        <is>
          <t>Mercoledì</t>
        </is>
      </c>
      <c r="C292" s="20" t="inlineStr">
        <is>
          <t>Media</t>
        </is>
      </c>
      <c r="D292" s="21" t="n">
        <v>1</v>
      </c>
      <c r="E292" s="21" t="n">
        <v>0.9</v>
      </c>
      <c r="F292" s="20" t="inlineStr">
        <is>
          <t>-</t>
        </is>
      </c>
      <c r="G292" s="21" t="n">
        <v>1</v>
      </c>
      <c r="H292" s="22">
        <f>$B$3*D292*E292*G292</f>
        <v/>
      </c>
      <c r="I292" s="20" t="n"/>
    </row>
    <row r="293">
      <c r="A293" s="18" t="n">
        <v>46310</v>
      </c>
      <c r="B293" s="20" t="inlineStr">
        <is>
          <t>Giovedì</t>
        </is>
      </c>
      <c r="C293" s="20" t="inlineStr">
        <is>
          <t>Media</t>
        </is>
      </c>
      <c r="D293" s="21" t="n">
        <v>1</v>
      </c>
      <c r="E293" s="21" t="n">
        <v>0.95</v>
      </c>
      <c r="F293" s="20" t="inlineStr">
        <is>
          <t>-</t>
        </is>
      </c>
      <c r="G293" s="21" t="n">
        <v>1</v>
      </c>
      <c r="H293" s="22">
        <f>$B$3*D293*E293*G293</f>
        <v/>
      </c>
      <c r="I293" s="20" t="n"/>
    </row>
    <row r="294">
      <c r="A294" s="18" t="n">
        <v>46311</v>
      </c>
      <c r="B294" s="19" t="inlineStr">
        <is>
          <t>Venerdì</t>
        </is>
      </c>
      <c r="C294" s="20" t="inlineStr">
        <is>
          <t>Media</t>
        </is>
      </c>
      <c r="D294" s="21" t="n">
        <v>1</v>
      </c>
      <c r="E294" s="21" t="n">
        <v>1.1</v>
      </c>
      <c r="F294" s="20" t="inlineStr">
        <is>
          <t>-</t>
        </is>
      </c>
      <c r="G294" s="21" t="n">
        <v>1</v>
      </c>
      <c r="H294" s="22">
        <f>$B$3*D294*E294*G294</f>
        <v/>
      </c>
      <c r="I294" s="20" t="n"/>
    </row>
    <row r="295">
      <c r="A295" s="18" t="n">
        <v>46312</v>
      </c>
      <c r="B295" s="19" t="inlineStr">
        <is>
          <t>Sabato</t>
        </is>
      </c>
      <c r="C295" s="20" t="inlineStr">
        <is>
          <t>Media</t>
        </is>
      </c>
      <c r="D295" s="21" t="n">
        <v>1</v>
      </c>
      <c r="E295" s="21" t="n">
        <v>1.2</v>
      </c>
      <c r="F295" s="20" t="inlineStr">
        <is>
          <t>-</t>
        </is>
      </c>
      <c r="G295" s="21" t="n">
        <v>1</v>
      </c>
      <c r="H295" s="22">
        <f>$B$3*D295*E295*G295</f>
        <v/>
      </c>
      <c r="I295" s="20" t="n"/>
    </row>
    <row r="296">
      <c r="A296" s="18" t="n">
        <v>46313</v>
      </c>
      <c r="B296" s="19" t="inlineStr">
        <is>
          <t>Domenica</t>
        </is>
      </c>
      <c r="C296" s="20" t="inlineStr">
        <is>
          <t>Media</t>
        </is>
      </c>
      <c r="D296" s="21" t="n">
        <v>1</v>
      </c>
      <c r="E296" s="21" t="n">
        <v>1.05</v>
      </c>
      <c r="F296" s="20" t="inlineStr">
        <is>
          <t>-</t>
        </is>
      </c>
      <c r="G296" s="21" t="n">
        <v>1</v>
      </c>
      <c r="H296" s="22">
        <f>$B$3*D296*E296*G296</f>
        <v/>
      </c>
      <c r="I296" s="20" t="n"/>
    </row>
    <row r="297">
      <c r="A297" s="18" t="n">
        <v>46314</v>
      </c>
      <c r="B297" s="20" t="inlineStr">
        <is>
          <t>Lunedì</t>
        </is>
      </c>
      <c r="C297" s="20" t="inlineStr">
        <is>
          <t>Media</t>
        </is>
      </c>
      <c r="D297" s="21" t="n">
        <v>1</v>
      </c>
      <c r="E297" s="21" t="n">
        <v>0.85</v>
      </c>
      <c r="F297" s="20" t="inlineStr">
        <is>
          <t>-</t>
        </is>
      </c>
      <c r="G297" s="21" t="n">
        <v>1</v>
      </c>
      <c r="H297" s="22">
        <f>$B$3*D297*E297*G297</f>
        <v/>
      </c>
      <c r="I297" s="20" t="n"/>
    </row>
    <row r="298">
      <c r="A298" s="18" t="n">
        <v>46315</v>
      </c>
      <c r="B298" s="20" t="inlineStr">
        <is>
          <t>Martedì</t>
        </is>
      </c>
      <c r="C298" s="20" t="inlineStr">
        <is>
          <t>Media</t>
        </is>
      </c>
      <c r="D298" s="21" t="n">
        <v>1</v>
      </c>
      <c r="E298" s="21" t="n">
        <v>0.85</v>
      </c>
      <c r="F298" s="20" t="inlineStr">
        <is>
          <t>-</t>
        </is>
      </c>
      <c r="G298" s="21" t="n">
        <v>1</v>
      </c>
      <c r="H298" s="22">
        <f>$B$3*D298*E298*G298</f>
        <v/>
      </c>
      <c r="I298" s="20" t="n"/>
    </row>
    <row r="299">
      <c r="A299" s="18" t="n">
        <v>46316</v>
      </c>
      <c r="B299" s="20" t="inlineStr">
        <is>
          <t>Mercoledì</t>
        </is>
      </c>
      <c r="C299" s="20" t="inlineStr">
        <is>
          <t>Media</t>
        </is>
      </c>
      <c r="D299" s="21" t="n">
        <v>1</v>
      </c>
      <c r="E299" s="21" t="n">
        <v>0.9</v>
      </c>
      <c r="F299" s="20" t="inlineStr">
        <is>
          <t>-</t>
        </is>
      </c>
      <c r="G299" s="21" t="n">
        <v>1</v>
      </c>
      <c r="H299" s="22">
        <f>$B$3*D299*E299*G299</f>
        <v/>
      </c>
      <c r="I299" s="20" t="n"/>
    </row>
    <row r="300">
      <c r="A300" s="18" t="n">
        <v>46317</v>
      </c>
      <c r="B300" s="20" t="inlineStr">
        <is>
          <t>Giovedì</t>
        </is>
      </c>
      <c r="C300" s="20" t="inlineStr">
        <is>
          <t>Media</t>
        </is>
      </c>
      <c r="D300" s="21" t="n">
        <v>1</v>
      </c>
      <c r="E300" s="21" t="n">
        <v>0.95</v>
      </c>
      <c r="F300" s="20" t="inlineStr">
        <is>
          <t>-</t>
        </is>
      </c>
      <c r="G300" s="21" t="n">
        <v>1</v>
      </c>
      <c r="H300" s="22">
        <f>$B$3*D300*E300*G300</f>
        <v/>
      </c>
      <c r="I300" s="20" t="n"/>
    </row>
    <row r="301">
      <c r="A301" s="18" t="n">
        <v>46318</v>
      </c>
      <c r="B301" s="19" t="inlineStr">
        <is>
          <t>Venerdì</t>
        </is>
      </c>
      <c r="C301" s="20" t="inlineStr">
        <is>
          <t>Media</t>
        </is>
      </c>
      <c r="D301" s="21" t="n">
        <v>1</v>
      </c>
      <c r="E301" s="21" t="n">
        <v>1.1</v>
      </c>
      <c r="F301" s="20" t="inlineStr">
        <is>
          <t>-</t>
        </is>
      </c>
      <c r="G301" s="21" t="n">
        <v>1</v>
      </c>
      <c r="H301" s="22">
        <f>$B$3*D301*E301*G301</f>
        <v/>
      </c>
      <c r="I301" s="20" t="n"/>
    </row>
    <row r="302">
      <c r="A302" s="18" t="n">
        <v>46319</v>
      </c>
      <c r="B302" s="19" t="inlineStr">
        <is>
          <t>Sabato</t>
        </is>
      </c>
      <c r="C302" s="20" t="inlineStr">
        <is>
          <t>Media</t>
        </is>
      </c>
      <c r="D302" s="21" t="n">
        <v>1</v>
      </c>
      <c r="E302" s="21" t="n">
        <v>1.2</v>
      </c>
      <c r="F302" s="20" t="inlineStr">
        <is>
          <t>-</t>
        </is>
      </c>
      <c r="G302" s="21" t="n">
        <v>1</v>
      </c>
      <c r="H302" s="22">
        <f>$B$3*D302*E302*G302</f>
        <v/>
      </c>
      <c r="I302" s="20" t="n"/>
    </row>
    <row r="303">
      <c r="A303" s="18" t="n">
        <v>46320</v>
      </c>
      <c r="B303" s="19" t="inlineStr">
        <is>
          <t>Domenica</t>
        </is>
      </c>
      <c r="C303" s="20" t="inlineStr">
        <is>
          <t>Media</t>
        </is>
      </c>
      <c r="D303" s="21" t="n">
        <v>1</v>
      </c>
      <c r="E303" s="21" t="n">
        <v>1.05</v>
      </c>
      <c r="F303" s="20" t="inlineStr">
        <is>
          <t>-</t>
        </is>
      </c>
      <c r="G303" s="21" t="n">
        <v>1</v>
      </c>
      <c r="H303" s="22">
        <f>$B$3*D303*E303*G303</f>
        <v/>
      </c>
      <c r="I303" s="20" t="n"/>
    </row>
    <row r="304">
      <c r="A304" s="18" t="n">
        <v>46321</v>
      </c>
      <c r="B304" s="20" t="inlineStr">
        <is>
          <t>Lunedì</t>
        </is>
      </c>
      <c r="C304" s="20" t="inlineStr">
        <is>
          <t>Media</t>
        </is>
      </c>
      <c r="D304" s="21" t="n">
        <v>1</v>
      </c>
      <c r="E304" s="21" t="n">
        <v>0.85</v>
      </c>
      <c r="F304" s="20" t="inlineStr">
        <is>
          <t>-</t>
        </is>
      </c>
      <c r="G304" s="21" t="n">
        <v>1</v>
      </c>
      <c r="H304" s="22">
        <f>$B$3*D304*E304*G304</f>
        <v/>
      </c>
      <c r="I304" s="20" t="n"/>
    </row>
    <row r="305">
      <c r="A305" s="18" t="n">
        <v>46322</v>
      </c>
      <c r="B305" s="20" t="inlineStr">
        <is>
          <t>Martedì</t>
        </is>
      </c>
      <c r="C305" s="20" t="inlineStr">
        <is>
          <t>Media</t>
        </is>
      </c>
      <c r="D305" s="21" t="n">
        <v>1</v>
      </c>
      <c r="E305" s="21" t="n">
        <v>0.85</v>
      </c>
      <c r="F305" s="20" t="inlineStr">
        <is>
          <t>-</t>
        </is>
      </c>
      <c r="G305" s="21" t="n">
        <v>1</v>
      </c>
      <c r="H305" s="22">
        <f>$B$3*D305*E305*G305</f>
        <v/>
      </c>
      <c r="I305" s="20" t="n"/>
    </row>
    <row r="306">
      <c r="A306" s="18" t="n">
        <v>46323</v>
      </c>
      <c r="B306" s="20" t="inlineStr">
        <is>
          <t>Mercoledì</t>
        </is>
      </c>
      <c r="C306" s="20" t="inlineStr">
        <is>
          <t>Media</t>
        </is>
      </c>
      <c r="D306" s="21" t="n">
        <v>1</v>
      </c>
      <c r="E306" s="21" t="n">
        <v>0.9</v>
      </c>
      <c r="F306" s="20" t="inlineStr">
        <is>
          <t>-</t>
        </is>
      </c>
      <c r="G306" s="21" t="n">
        <v>1</v>
      </c>
      <c r="H306" s="22">
        <f>$B$3*D306*E306*G306</f>
        <v/>
      </c>
      <c r="I306" s="20" t="n"/>
    </row>
    <row r="307">
      <c r="A307" s="18" t="n">
        <v>46324</v>
      </c>
      <c r="B307" s="20" t="inlineStr">
        <is>
          <t>Giovedì</t>
        </is>
      </c>
      <c r="C307" s="20" t="inlineStr">
        <is>
          <t>Media</t>
        </is>
      </c>
      <c r="D307" s="21" t="n">
        <v>1</v>
      </c>
      <c r="E307" s="21" t="n">
        <v>0.95</v>
      </c>
      <c r="F307" s="20" t="inlineStr">
        <is>
          <t>-</t>
        </is>
      </c>
      <c r="G307" s="21" t="n">
        <v>1</v>
      </c>
      <c r="H307" s="22">
        <f>$B$3*D307*E307*G307</f>
        <v/>
      </c>
      <c r="I307" s="20" t="n"/>
    </row>
    <row r="308">
      <c r="A308" s="18" t="n">
        <v>46325</v>
      </c>
      <c r="B308" s="19" t="inlineStr">
        <is>
          <t>Venerdì</t>
        </is>
      </c>
      <c r="C308" s="20" t="inlineStr">
        <is>
          <t>Media</t>
        </is>
      </c>
      <c r="D308" s="21" t="n">
        <v>1</v>
      </c>
      <c r="E308" s="21" t="n">
        <v>1.1</v>
      </c>
      <c r="F308" s="20" t="inlineStr">
        <is>
          <t>-</t>
        </is>
      </c>
      <c r="G308" s="21" t="n">
        <v>1</v>
      </c>
      <c r="H308" s="22">
        <f>$B$3*D308*E308*G308</f>
        <v/>
      </c>
      <c r="I308" s="20" t="n"/>
    </row>
    <row r="309">
      <c r="A309" s="18" t="n">
        <v>46326</v>
      </c>
      <c r="B309" s="19" t="inlineStr">
        <is>
          <t>Sabato</t>
        </is>
      </c>
      <c r="C309" s="20" t="inlineStr">
        <is>
          <t>Media</t>
        </is>
      </c>
      <c r="D309" s="21" t="n">
        <v>1</v>
      </c>
      <c r="E309" s="21" t="n">
        <v>1.2</v>
      </c>
      <c r="F309" s="20" t="inlineStr">
        <is>
          <t>-</t>
        </is>
      </c>
      <c r="G309" s="21" t="n">
        <v>1</v>
      </c>
      <c r="H309" s="22">
        <f>$B$3*D309*E309*G309</f>
        <v/>
      </c>
      <c r="I309" s="20" t="n"/>
    </row>
    <row r="310">
      <c r="A310" s="14" t="n">
        <v>46327</v>
      </c>
      <c r="B310" s="15" t="inlineStr">
        <is>
          <t>Domenica</t>
        </is>
      </c>
      <c r="C310" s="15" t="inlineStr">
        <is>
          <t>Bassa</t>
        </is>
      </c>
      <c r="D310" s="16" t="n">
        <v>0.7</v>
      </c>
      <c r="E310" s="16" t="n">
        <v>1.05</v>
      </c>
      <c r="F310" s="15" t="inlineStr">
        <is>
          <t>Tutti i Santi</t>
        </is>
      </c>
      <c r="G310" s="16" t="n">
        <v>1.2</v>
      </c>
      <c r="H310" s="17">
        <f>$B$3*D310*E310*G310</f>
        <v/>
      </c>
      <c r="I310" s="15" t="n"/>
    </row>
    <row r="311">
      <c r="A311" s="18" t="n">
        <v>46328</v>
      </c>
      <c r="B311" s="20" t="inlineStr">
        <is>
          <t>Lunedì</t>
        </is>
      </c>
      <c r="C311" s="20" t="inlineStr">
        <is>
          <t>Bassa</t>
        </is>
      </c>
      <c r="D311" s="21" t="n">
        <v>0.7</v>
      </c>
      <c r="E311" s="21" t="n">
        <v>0.85</v>
      </c>
      <c r="F311" s="20" t="inlineStr">
        <is>
          <t>-</t>
        </is>
      </c>
      <c r="G311" s="21" t="n">
        <v>1</v>
      </c>
      <c r="H311" s="22">
        <f>$B$3*D311*E311*G311</f>
        <v/>
      </c>
      <c r="I311" s="20" t="n"/>
    </row>
    <row r="312">
      <c r="A312" s="18" t="n">
        <v>46329</v>
      </c>
      <c r="B312" s="20" t="inlineStr">
        <is>
          <t>Martedì</t>
        </is>
      </c>
      <c r="C312" s="20" t="inlineStr">
        <is>
          <t>Bassa</t>
        </is>
      </c>
      <c r="D312" s="21" t="n">
        <v>0.7</v>
      </c>
      <c r="E312" s="21" t="n">
        <v>0.85</v>
      </c>
      <c r="F312" s="20" t="inlineStr">
        <is>
          <t>-</t>
        </is>
      </c>
      <c r="G312" s="21" t="n">
        <v>1</v>
      </c>
      <c r="H312" s="22">
        <f>$B$3*D312*E312*G312</f>
        <v/>
      </c>
      <c r="I312" s="20" t="n"/>
    </row>
    <row r="313">
      <c r="A313" s="18" t="n">
        <v>46330</v>
      </c>
      <c r="B313" s="20" t="inlineStr">
        <is>
          <t>Mercoledì</t>
        </is>
      </c>
      <c r="C313" s="20" t="inlineStr">
        <is>
          <t>Bassa</t>
        </is>
      </c>
      <c r="D313" s="21" t="n">
        <v>0.7</v>
      </c>
      <c r="E313" s="21" t="n">
        <v>0.9</v>
      </c>
      <c r="F313" s="20" t="inlineStr">
        <is>
          <t>-</t>
        </is>
      </c>
      <c r="G313" s="21" t="n">
        <v>1</v>
      </c>
      <c r="H313" s="22">
        <f>$B$3*D313*E313*G313</f>
        <v/>
      </c>
      <c r="I313" s="20" t="n"/>
    </row>
    <row r="314">
      <c r="A314" s="18" t="n">
        <v>46331</v>
      </c>
      <c r="B314" s="20" t="inlineStr">
        <is>
          <t>Giovedì</t>
        </is>
      </c>
      <c r="C314" s="20" t="inlineStr">
        <is>
          <t>Bassa</t>
        </is>
      </c>
      <c r="D314" s="21" t="n">
        <v>0.7</v>
      </c>
      <c r="E314" s="21" t="n">
        <v>0.95</v>
      </c>
      <c r="F314" s="20" t="inlineStr">
        <is>
          <t>-</t>
        </is>
      </c>
      <c r="G314" s="21" t="n">
        <v>1</v>
      </c>
      <c r="H314" s="22">
        <f>$B$3*D314*E314*G314</f>
        <v/>
      </c>
      <c r="I314" s="20" t="n"/>
    </row>
    <row r="315">
      <c r="A315" s="18" t="n">
        <v>46332</v>
      </c>
      <c r="B315" s="19" t="inlineStr">
        <is>
          <t>Venerdì</t>
        </is>
      </c>
      <c r="C315" s="20" t="inlineStr">
        <is>
          <t>Bassa</t>
        </is>
      </c>
      <c r="D315" s="21" t="n">
        <v>0.7</v>
      </c>
      <c r="E315" s="21" t="n">
        <v>1.1</v>
      </c>
      <c r="F315" s="20" t="inlineStr">
        <is>
          <t>-</t>
        </is>
      </c>
      <c r="G315" s="21" t="n">
        <v>1</v>
      </c>
      <c r="H315" s="22">
        <f>$B$3*D315*E315*G315</f>
        <v/>
      </c>
      <c r="I315" s="20" t="n"/>
    </row>
    <row r="316">
      <c r="A316" s="18" t="n">
        <v>46333</v>
      </c>
      <c r="B316" s="19" t="inlineStr">
        <is>
          <t>Sabato</t>
        </is>
      </c>
      <c r="C316" s="20" t="inlineStr">
        <is>
          <t>Bassa</t>
        </is>
      </c>
      <c r="D316" s="21" t="n">
        <v>0.7</v>
      </c>
      <c r="E316" s="21" t="n">
        <v>1.2</v>
      </c>
      <c r="F316" s="20" t="inlineStr">
        <is>
          <t>-</t>
        </is>
      </c>
      <c r="G316" s="21" t="n">
        <v>1</v>
      </c>
      <c r="H316" s="22">
        <f>$B$3*D316*E316*G316</f>
        <v/>
      </c>
      <c r="I316" s="20" t="n"/>
    </row>
    <row r="317">
      <c r="A317" s="18" t="n">
        <v>46334</v>
      </c>
      <c r="B317" s="19" t="inlineStr">
        <is>
          <t>Domenica</t>
        </is>
      </c>
      <c r="C317" s="20" t="inlineStr">
        <is>
          <t>Bassa</t>
        </is>
      </c>
      <c r="D317" s="21" t="n">
        <v>0.7</v>
      </c>
      <c r="E317" s="21" t="n">
        <v>1.05</v>
      </c>
      <c r="F317" s="20" t="inlineStr">
        <is>
          <t>-</t>
        </is>
      </c>
      <c r="G317" s="21" t="n">
        <v>1</v>
      </c>
      <c r="H317" s="22">
        <f>$B$3*D317*E317*G317</f>
        <v/>
      </c>
      <c r="I317" s="20" t="n"/>
    </row>
    <row r="318">
      <c r="A318" s="18" t="n">
        <v>46335</v>
      </c>
      <c r="B318" s="20" t="inlineStr">
        <is>
          <t>Lunedì</t>
        </is>
      </c>
      <c r="C318" s="20" t="inlineStr">
        <is>
          <t>Bassa</t>
        </is>
      </c>
      <c r="D318" s="21" t="n">
        <v>0.7</v>
      </c>
      <c r="E318" s="21" t="n">
        <v>0.85</v>
      </c>
      <c r="F318" s="20" t="inlineStr">
        <is>
          <t>-</t>
        </is>
      </c>
      <c r="G318" s="21" t="n">
        <v>1</v>
      </c>
      <c r="H318" s="22">
        <f>$B$3*D318*E318*G318</f>
        <v/>
      </c>
      <c r="I318" s="20" t="n"/>
    </row>
    <row r="319">
      <c r="A319" s="18" t="n">
        <v>46336</v>
      </c>
      <c r="B319" s="20" t="inlineStr">
        <is>
          <t>Martedì</t>
        </is>
      </c>
      <c r="C319" s="20" t="inlineStr">
        <is>
          <t>Bassa</t>
        </is>
      </c>
      <c r="D319" s="21" t="n">
        <v>0.7</v>
      </c>
      <c r="E319" s="21" t="n">
        <v>0.85</v>
      </c>
      <c r="F319" s="20" t="inlineStr">
        <is>
          <t>-</t>
        </is>
      </c>
      <c r="G319" s="21" t="n">
        <v>1</v>
      </c>
      <c r="H319" s="22">
        <f>$B$3*D319*E319*G319</f>
        <v/>
      </c>
      <c r="I319" s="20" t="n"/>
    </row>
    <row r="320">
      <c r="A320" s="18" t="n">
        <v>46337</v>
      </c>
      <c r="B320" s="20" t="inlineStr">
        <is>
          <t>Mercoledì</t>
        </is>
      </c>
      <c r="C320" s="20" t="inlineStr">
        <is>
          <t>Bassa</t>
        </is>
      </c>
      <c r="D320" s="21" t="n">
        <v>0.7</v>
      </c>
      <c r="E320" s="21" t="n">
        <v>0.9</v>
      </c>
      <c r="F320" s="20" t="inlineStr">
        <is>
          <t>-</t>
        </is>
      </c>
      <c r="G320" s="21" t="n">
        <v>1</v>
      </c>
      <c r="H320" s="22">
        <f>$B$3*D320*E320*G320</f>
        <v/>
      </c>
      <c r="I320" s="20" t="n"/>
    </row>
    <row r="321">
      <c r="A321" s="18" t="n">
        <v>46338</v>
      </c>
      <c r="B321" s="20" t="inlineStr">
        <is>
          <t>Giovedì</t>
        </is>
      </c>
      <c r="C321" s="20" t="inlineStr">
        <is>
          <t>Bassa</t>
        </is>
      </c>
      <c r="D321" s="21" t="n">
        <v>0.7</v>
      </c>
      <c r="E321" s="21" t="n">
        <v>0.95</v>
      </c>
      <c r="F321" s="20" t="inlineStr">
        <is>
          <t>-</t>
        </is>
      </c>
      <c r="G321" s="21" t="n">
        <v>1</v>
      </c>
      <c r="H321" s="22">
        <f>$B$3*D321*E321*G321</f>
        <v/>
      </c>
      <c r="I321" s="20" t="n"/>
    </row>
    <row r="322">
      <c r="A322" s="18" t="n">
        <v>46339</v>
      </c>
      <c r="B322" s="19" t="inlineStr">
        <is>
          <t>Venerdì</t>
        </is>
      </c>
      <c r="C322" s="20" t="inlineStr">
        <is>
          <t>Bassa</t>
        </is>
      </c>
      <c r="D322" s="21" t="n">
        <v>0.7</v>
      </c>
      <c r="E322" s="21" t="n">
        <v>1.1</v>
      </c>
      <c r="F322" s="20" t="inlineStr">
        <is>
          <t>-</t>
        </is>
      </c>
      <c r="G322" s="21" t="n">
        <v>1</v>
      </c>
      <c r="H322" s="22">
        <f>$B$3*D322*E322*G322</f>
        <v/>
      </c>
      <c r="I322" s="20" t="n"/>
    </row>
    <row r="323">
      <c r="A323" s="18" t="n">
        <v>46340</v>
      </c>
      <c r="B323" s="19" t="inlineStr">
        <is>
          <t>Sabato</t>
        </is>
      </c>
      <c r="C323" s="20" t="inlineStr">
        <is>
          <t>Bassa</t>
        </is>
      </c>
      <c r="D323" s="21" t="n">
        <v>0.7</v>
      </c>
      <c r="E323" s="21" t="n">
        <v>1.2</v>
      </c>
      <c r="F323" s="20" t="inlineStr">
        <is>
          <t>-</t>
        </is>
      </c>
      <c r="G323" s="21" t="n">
        <v>1</v>
      </c>
      <c r="H323" s="22">
        <f>$B$3*D323*E323*G323</f>
        <v/>
      </c>
      <c r="I323" s="20" t="n"/>
    </row>
    <row r="324">
      <c r="A324" s="18" t="n">
        <v>46341</v>
      </c>
      <c r="B324" s="19" t="inlineStr">
        <is>
          <t>Domenica</t>
        </is>
      </c>
      <c r="C324" s="20" t="inlineStr">
        <is>
          <t>Bassa</t>
        </is>
      </c>
      <c r="D324" s="21" t="n">
        <v>0.7</v>
      </c>
      <c r="E324" s="21" t="n">
        <v>1.05</v>
      </c>
      <c r="F324" s="20" t="inlineStr">
        <is>
          <t>-</t>
        </is>
      </c>
      <c r="G324" s="21" t="n">
        <v>1</v>
      </c>
      <c r="H324" s="22">
        <f>$B$3*D324*E324*G324</f>
        <v/>
      </c>
      <c r="I324" s="20" t="n"/>
    </row>
    <row r="325">
      <c r="A325" s="18" t="n">
        <v>46342</v>
      </c>
      <c r="B325" s="20" t="inlineStr">
        <is>
          <t>Lunedì</t>
        </is>
      </c>
      <c r="C325" s="20" t="inlineStr">
        <is>
          <t>Bassa</t>
        </is>
      </c>
      <c r="D325" s="21" t="n">
        <v>0.7</v>
      </c>
      <c r="E325" s="21" t="n">
        <v>0.85</v>
      </c>
      <c r="F325" s="20" t="inlineStr">
        <is>
          <t>-</t>
        </is>
      </c>
      <c r="G325" s="21" t="n">
        <v>1</v>
      </c>
      <c r="H325" s="22">
        <f>$B$3*D325*E325*G325</f>
        <v/>
      </c>
      <c r="I325" s="20" t="n"/>
    </row>
    <row r="326">
      <c r="A326" s="18" t="n">
        <v>46343</v>
      </c>
      <c r="B326" s="20" t="inlineStr">
        <is>
          <t>Martedì</t>
        </is>
      </c>
      <c r="C326" s="20" t="inlineStr">
        <is>
          <t>Bassa</t>
        </is>
      </c>
      <c r="D326" s="21" t="n">
        <v>0.7</v>
      </c>
      <c r="E326" s="21" t="n">
        <v>0.85</v>
      </c>
      <c r="F326" s="20" t="inlineStr">
        <is>
          <t>-</t>
        </is>
      </c>
      <c r="G326" s="21" t="n">
        <v>1</v>
      </c>
      <c r="H326" s="22">
        <f>$B$3*D326*E326*G326</f>
        <v/>
      </c>
      <c r="I326" s="20" t="n"/>
    </row>
    <row r="327">
      <c r="A327" s="18" t="n">
        <v>46344</v>
      </c>
      <c r="B327" s="20" t="inlineStr">
        <is>
          <t>Mercoledì</t>
        </is>
      </c>
      <c r="C327" s="20" t="inlineStr">
        <is>
          <t>Bassa</t>
        </is>
      </c>
      <c r="D327" s="21" t="n">
        <v>0.7</v>
      </c>
      <c r="E327" s="21" t="n">
        <v>0.9</v>
      </c>
      <c r="F327" s="20" t="inlineStr">
        <is>
          <t>-</t>
        </is>
      </c>
      <c r="G327" s="21" t="n">
        <v>1</v>
      </c>
      <c r="H327" s="22">
        <f>$B$3*D327*E327*G327</f>
        <v/>
      </c>
      <c r="I327" s="20" t="n"/>
    </row>
    <row r="328">
      <c r="A328" s="18" t="n">
        <v>46345</v>
      </c>
      <c r="B328" s="20" t="inlineStr">
        <is>
          <t>Giovedì</t>
        </is>
      </c>
      <c r="C328" s="20" t="inlineStr">
        <is>
          <t>Bassa</t>
        </is>
      </c>
      <c r="D328" s="21" t="n">
        <v>0.7</v>
      </c>
      <c r="E328" s="21" t="n">
        <v>0.95</v>
      </c>
      <c r="F328" s="20" t="inlineStr">
        <is>
          <t>-</t>
        </is>
      </c>
      <c r="G328" s="21" t="n">
        <v>1</v>
      </c>
      <c r="H328" s="22">
        <f>$B$3*D328*E328*G328</f>
        <v/>
      </c>
      <c r="I328" s="20" t="n"/>
    </row>
    <row r="329">
      <c r="A329" s="18" t="n">
        <v>46346</v>
      </c>
      <c r="B329" s="19" t="inlineStr">
        <is>
          <t>Venerdì</t>
        </is>
      </c>
      <c r="C329" s="20" t="inlineStr">
        <is>
          <t>Bassa</t>
        </is>
      </c>
      <c r="D329" s="21" t="n">
        <v>0.7</v>
      </c>
      <c r="E329" s="21" t="n">
        <v>1.1</v>
      </c>
      <c r="F329" s="20" t="inlineStr">
        <is>
          <t>-</t>
        </is>
      </c>
      <c r="G329" s="21" t="n">
        <v>1</v>
      </c>
      <c r="H329" s="22">
        <f>$B$3*D329*E329*G329</f>
        <v/>
      </c>
      <c r="I329" s="20" t="n"/>
    </row>
    <row r="330">
      <c r="A330" s="18" t="n">
        <v>46347</v>
      </c>
      <c r="B330" s="19" t="inlineStr">
        <is>
          <t>Sabato</t>
        </is>
      </c>
      <c r="C330" s="20" t="inlineStr">
        <is>
          <t>Bassa</t>
        </is>
      </c>
      <c r="D330" s="21" t="n">
        <v>0.7</v>
      </c>
      <c r="E330" s="21" t="n">
        <v>1.2</v>
      </c>
      <c r="F330" s="20" t="inlineStr">
        <is>
          <t>-</t>
        </is>
      </c>
      <c r="G330" s="21" t="n">
        <v>1</v>
      </c>
      <c r="H330" s="22">
        <f>$B$3*D330*E330*G330</f>
        <v/>
      </c>
      <c r="I330" s="20" t="n"/>
    </row>
    <row r="331">
      <c r="A331" s="18" t="n">
        <v>46348</v>
      </c>
      <c r="B331" s="19" t="inlineStr">
        <is>
          <t>Domenica</t>
        </is>
      </c>
      <c r="C331" s="20" t="inlineStr">
        <is>
          <t>Bassa</t>
        </is>
      </c>
      <c r="D331" s="21" t="n">
        <v>0.7</v>
      </c>
      <c r="E331" s="21" t="n">
        <v>1.05</v>
      </c>
      <c r="F331" s="20" t="inlineStr">
        <is>
          <t>-</t>
        </is>
      </c>
      <c r="G331" s="21" t="n">
        <v>1</v>
      </c>
      <c r="H331" s="22">
        <f>$B$3*D331*E331*G331</f>
        <v/>
      </c>
      <c r="I331" s="20" t="n"/>
    </row>
    <row r="332">
      <c r="A332" s="18" t="n">
        <v>46349</v>
      </c>
      <c r="B332" s="20" t="inlineStr">
        <is>
          <t>Lunedì</t>
        </is>
      </c>
      <c r="C332" s="20" t="inlineStr">
        <is>
          <t>Bassa</t>
        </is>
      </c>
      <c r="D332" s="21" t="n">
        <v>0.7</v>
      </c>
      <c r="E332" s="21" t="n">
        <v>0.85</v>
      </c>
      <c r="F332" s="20" t="inlineStr">
        <is>
          <t>-</t>
        </is>
      </c>
      <c r="G332" s="21" t="n">
        <v>1</v>
      </c>
      <c r="H332" s="22">
        <f>$B$3*D332*E332*G332</f>
        <v/>
      </c>
      <c r="I332" s="20" t="n"/>
    </row>
    <row r="333">
      <c r="A333" s="18" t="n">
        <v>46350</v>
      </c>
      <c r="B333" s="20" t="inlineStr">
        <is>
          <t>Martedì</t>
        </is>
      </c>
      <c r="C333" s="20" t="inlineStr">
        <is>
          <t>Bassa</t>
        </is>
      </c>
      <c r="D333" s="21" t="n">
        <v>0.7</v>
      </c>
      <c r="E333" s="21" t="n">
        <v>0.85</v>
      </c>
      <c r="F333" s="20" t="inlineStr">
        <is>
          <t>-</t>
        </is>
      </c>
      <c r="G333" s="21" t="n">
        <v>1</v>
      </c>
      <c r="H333" s="22">
        <f>$B$3*D333*E333*G333</f>
        <v/>
      </c>
      <c r="I333" s="20" t="n"/>
    </row>
    <row r="334">
      <c r="A334" s="18" t="n">
        <v>46351</v>
      </c>
      <c r="B334" s="20" t="inlineStr">
        <is>
          <t>Mercoledì</t>
        </is>
      </c>
      <c r="C334" s="20" t="inlineStr">
        <is>
          <t>Bassa</t>
        </is>
      </c>
      <c r="D334" s="21" t="n">
        <v>0.7</v>
      </c>
      <c r="E334" s="21" t="n">
        <v>0.9</v>
      </c>
      <c r="F334" s="20" t="inlineStr">
        <is>
          <t>-</t>
        </is>
      </c>
      <c r="G334" s="21" t="n">
        <v>1</v>
      </c>
      <c r="H334" s="22">
        <f>$B$3*D334*E334*G334</f>
        <v/>
      </c>
      <c r="I334" s="20" t="n"/>
    </row>
    <row r="335">
      <c r="A335" s="18" t="n">
        <v>46352</v>
      </c>
      <c r="B335" s="20" t="inlineStr">
        <is>
          <t>Giovedì</t>
        </is>
      </c>
      <c r="C335" s="20" t="inlineStr">
        <is>
          <t>Bassa</t>
        </is>
      </c>
      <c r="D335" s="21" t="n">
        <v>0.7</v>
      </c>
      <c r="E335" s="21" t="n">
        <v>0.95</v>
      </c>
      <c r="F335" s="20" t="inlineStr">
        <is>
          <t>-</t>
        </is>
      </c>
      <c r="G335" s="21" t="n">
        <v>1</v>
      </c>
      <c r="H335" s="22">
        <f>$B$3*D335*E335*G335</f>
        <v/>
      </c>
      <c r="I335" s="20" t="n"/>
    </row>
    <row r="336">
      <c r="A336" s="18" t="n">
        <v>46353</v>
      </c>
      <c r="B336" s="19" t="inlineStr">
        <is>
          <t>Venerdì</t>
        </is>
      </c>
      <c r="C336" s="20" t="inlineStr">
        <is>
          <t>Bassa</t>
        </is>
      </c>
      <c r="D336" s="21" t="n">
        <v>0.7</v>
      </c>
      <c r="E336" s="21" t="n">
        <v>1.1</v>
      </c>
      <c r="F336" s="20" t="inlineStr">
        <is>
          <t>-</t>
        </is>
      </c>
      <c r="G336" s="21" t="n">
        <v>1</v>
      </c>
      <c r="H336" s="22">
        <f>$B$3*D336*E336*G336</f>
        <v/>
      </c>
      <c r="I336" s="20" t="n"/>
    </row>
    <row r="337">
      <c r="A337" s="18" t="n">
        <v>46354</v>
      </c>
      <c r="B337" s="19" t="inlineStr">
        <is>
          <t>Sabato</t>
        </is>
      </c>
      <c r="C337" s="20" t="inlineStr">
        <is>
          <t>Bassa</t>
        </is>
      </c>
      <c r="D337" s="21" t="n">
        <v>0.7</v>
      </c>
      <c r="E337" s="21" t="n">
        <v>1.2</v>
      </c>
      <c r="F337" s="20" t="inlineStr">
        <is>
          <t>-</t>
        </is>
      </c>
      <c r="G337" s="21" t="n">
        <v>1</v>
      </c>
      <c r="H337" s="22">
        <f>$B$3*D337*E337*G337</f>
        <v/>
      </c>
      <c r="I337" s="20" t="n"/>
    </row>
    <row r="338">
      <c r="A338" s="18" t="n">
        <v>46355</v>
      </c>
      <c r="B338" s="19" t="inlineStr">
        <is>
          <t>Domenica</t>
        </is>
      </c>
      <c r="C338" s="20" t="inlineStr">
        <is>
          <t>Bassa</t>
        </is>
      </c>
      <c r="D338" s="21" t="n">
        <v>0.7</v>
      </c>
      <c r="E338" s="21" t="n">
        <v>1.05</v>
      </c>
      <c r="F338" s="20" t="inlineStr">
        <is>
          <t>-</t>
        </is>
      </c>
      <c r="G338" s="21" t="n">
        <v>1</v>
      </c>
      <c r="H338" s="22">
        <f>$B$3*D338*E338*G338</f>
        <v/>
      </c>
      <c r="I338" s="20" t="n"/>
    </row>
    <row r="339">
      <c r="A339" s="18" t="n">
        <v>46356</v>
      </c>
      <c r="B339" s="20" t="inlineStr">
        <is>
          <t>Lunedì</t>
        </is>
      </c>
      <c r="C339" s="20" t="inlineStr">
        <is>
          <t>Bassa</t>
        </is>
      </c>
      <c r="D339" s="21" t="n">
        <v>0.7</v>
      </c>
      <c r="E339" s="21" t="n">
        <v>0.85</v>
      </c>
      <c r="F339" s="20" t="inlineStr">
        <is>
          <t>-</t>
        </is>
      </c>
      <c r="G339" s="21" t="n">
        <v>1</v>
      </c>
      <c r="H339" s="22">
        <f>$B$3*D339*E339*G339</f>
        <v/>
      </c>
      <c r="I339" s="20" t="n"/>
    </row>
    <row r="340">
      <c r="A340" s="18" t="n">
        <v>46357</v>
      </c>
      <c r="B340" s="20" t="inlineStr">
        <is>
          <t>Martedì</t>
        </is>
      </c>
      <c r="C340" s="20" t="inlineStr">
        <is>
          <t>Bassa</t>
        </is>
      </c>
      <c r="D340" s="21" t="n">
        <v>0.7</v>
      </c>
      <c r="E340" s="21" t="n">
        <v>0.85</v>
      </c>
      <c r="F340" s="20" t="inlineStr">
        <is>
          <t>-</t>
        </is>
      </c>
      <c r="G340" s="21" t="n">
        <v>1</v>
      </c>
      <c r="H340" s="22">
        <f>$B$3*D340*E340*G340</f>
        <v/>
      </c>
      <c r="I340" s="20" t="n"/>
    </row>
    <row r="341">
      <c r="A341" s="18" t="n">
        <v>46358</v>
      </c>
      <c r="B341" s="20" t="inlineStr">
        <is>
          <t>Mercoledì</t>
        </is>
      </c>
      <c r="C341" s="20" t="inlineStr">
        <is>
          <t>Bassa</t>
        </is>
      </c>
      <c r="D341" s="21" t="n">
        <v>0.7</v>
      </c>
      <c r="E341" s="21" t="n">
        <v>0.9</v>
      </c>
      <c r="F341" s="20" t="inlineStr">
        <is>
          <t>-</t>
        </is>
      </c>
      <c r="G341" s="21" t="n">
        <v>1</v>
      </c>
      <c r="H341" s="22">
        <f>$B$3*D341*E341*G341</f>
        <v/>
      </c>
      <c r="I341" s="20" t="n"/>
    </row>
    <row r="342">
      <c r="A342" s="18" t="n">
        <v>46359</v>
      </c>
      <c r="B342" s="20" t="inlineStr">
        <is>
          <t>Giovedì</t>
        </is>
      </c>
      <c r="C342" s="20" t="inlineStr">
        <is>
          <t>Bassa</t>
        </is>
      </c>
      <c r="D342" s="21" t="n">
        <v>0.7</v>
      </c>
      <c r="E342" s="21" t="n">
        <v>0.95</v>
      </c>
      <c r="F342" s="20" t="inlineStr">
        <is>
          <t>-</t>
        </is>
      </c>
      <c r="G342" s="21" t="n">
        <v>1</v>
      </c>
      <c r="H342" s="22">
        <f>$B$3*D342*E342*G342</f>
        <v/>
      </c>
      <c r="I342" s="20" t="n"/>
    </row>
    <row r="343">
      <c r="A343" s="18" t="n">
        <v>46360</v>
      </c>
      <c r="B343" s="19" t="inlineStr">
        <is>
          <t>Venerdì</t>
        </is>
      </c>
      <c r="C343" s="20" t="inlineStr">
        <is>
          <t>Bassa</t>
        </is>
      </c>
      <c r="D343" s="21" t="n">
        <v>0.7</v>
      </c>
      <c r="E343" s="21" t="n">
        <v>1.1</v>
      </c>
      <c r="F343" s="20" t="inlineStr">
        <is>
          <t>-</t>
        </is>
      </c>
      <c r="G343" s="21" t="n">
        <v>1</v>
      </c>
      <c r="H343" s="22">
        <f>$B$3*D343*E343*G343</f>
        <v/>
      </c>
      <c r="I343" s="20" t="n"/>
    </row>
    <row r="344">
      <c r="A344" s="18" t="n">
        <v>46361</v>
      </c>
      <c r="B344" s="19" t="inlineStr">
        <is>
          <t>Sabato</t>
        </is>
      </c>
      <c r="C344" s="20" t="inlineStr">
        <is>
          <t>Bassa</t>
        </is>
      </c>
      <c r="D344" s="21" t="n">
        <v>0.7</v>
      </c>
      <c r="E344" s="21" t="n">
        <v>1.2</v>
      </c>
      <c r="F344" s="20" t="inlineStr">
        <is>
          <t>-</t>
        </is>
      </c>
      <c r="G344" s="21" t="n">
        <v>1</v>
      </c>
      <c r="H344" s="22">
        <f>$B$3*D344*E344*G344</f>
        <v/>
      </c>
      <c r="I344" s="20" t="n"/>
    </row>
    <row r="345">
      <c r="A345" s="18" t="n">
        <v>46362</v>
      </c>
      <c r="B345" s="19" t="inlineStr">
        <is>
          <t>Domenica</t>
        </is>
      </c>
      <c r="C345" s="20" t="inlineStr">
        <is>
          <t>Bassa</t>
        </is>
      </c>
      <c r="D345" s="21" t="n">
        <v>0.7</v>
      </c>
      <c r="E345" s="21" t="n">
        <v>1.05</v>
      </c>
      <c r="F345" s="20" t="inlineStr">
        <is>
          <t>-</t>
        </is>
      </c>
      <c r="G345" s="21" t="n">
        <v>1</v>
      </c>
      <c r="H345" s="22">
        <f>$B$3*D345*E345*G345</f>
        <v/>
      </c>
      <c r="I345" s="20" t="n"/>
    </row>
    <row r="346">
      <c r="A346" s="18" t="n">
        <v>46363</v>
      </c>
      <c r="B346" s="20" t="inlineStr">
        <is>
          <t>Lunedì</t>
        </is>
      </c>
      <c r="C346" s="20" t="inlineStr">
        <is>
          <t>Bassa</t>
        </is>
      </c>
      <c r="D346" s="21" t="n">
        <v>0.7</v>
      </c>
      <c r="E346" s="21" t="n">
        <v>0.85</v>
      </c>
      <c r="F346" s="20" t="inlineStr">
        <is>
          <t>-</t>
        </is>
      </c>
      <c r="G346" s="21" t="n">
        <v>1</v>
      </c>
      <c r="H346" s="22">
        <f>$B$3*D346*E346*G346</f>
        <v/>
      </c>
      <c r="I346" s="20" t="n"/>
    </row>
    <row r="347">
      <c r="A347" s="14" t="n">
        <v>46364</v>
      </c>
      <c r="B347" s="15" t="inlineStr">
        <is>
          <t>Martedì</t>
        </is>
      </c>
      <c r="C347" s="15" t="inlineStr">
        <is>
          <t>Bassa</t>
        </is>
      </c>
      <c r="D347" s="16" t="n">
        <v>0.7</v>
      </c>
      <c r="E347" s="16" t="n">
        <v>0.85</v>
      </c>
      <c r="F347" s="15" t="inlineStr">
        <is>
          <t>Immacolata</t>
        </is>
      </c>
      <c r="G347" s="16" t="n">
        <v>1.3</v>
      </c>
      <c r="H347" s="17">
        <f>$B$3*D347*E347*G347</f>
        <v/>
      </c>
      <c r="I347" s="15" t="n"/>
    </row>
    <row r="348">
      <c r="A348" s="18" t="n">
        <v>46365</v>
      </c>
      <c r="B348" s="20" t="inlineStr">
        <is>
          <t>Mercoledì</t>
        </is>
      </c>
      <c r="C348" s="20" t="inlineStr">
        <is>
          <t>Bassa</t>
        </is>
      </c>
      <c r="D348" s="21" t="n">
        <v>0.7</v>
      </c>
      <c r="E348" s="21" t="n">
        <v>0.9</v>
      </c>
      <c r="F348" s="20" t="inlineStr">
        <is>
          <t>-</t>
        </is>
      </c>
      <c r="G348" s="21" t="n">
        <v>1</v>
      </c>
      <c r="H348" s="22">
        <f>$B$3*D348*E348*G348</f>
        <v/>
      </c>
      <c r="I348" s="20" t="n"/>
    </row>
    <row r="349">
      <c r="A349" s="18" t="n">
        <v>46366</v>
      </c>
      <c r="B349" s="20" t="inlineStr">
        <is>
          <t>Giovedì</t>
        </is>
      </c>
      <c r="C349" s="20" t="inlineStr">
        <is>
          <t>Bassa</t>
        </is>
      </c>
      <c r="D349" s="21" t="n">
        <v>0.7</v>
      </c>
      <c r="E349" s="21" t="n">
        <v>0.95</v>
      </c>
      <c r="F349" s="20" t="inlineStr">
        <is>
          <t>-</t>
        </is>
      </c>
      <c r="G349" s="21" t="n">
        <v>1</v>
      </c>
      <c r="H349" s="22">
        <f>$B$3*D349*E349*G349</f>
        <v/>
      </c>
      <c r="I349" s="20" t="n"/>
    </row>
    <row r="350">
      <c r="A350" s="18" t="n">
        <v>46367</v>
      </c>
      <c r="B350" s="19" t="inlineStr">
        <is>
          <t>Venerdì</t>
        </is>
      </c>
      <c r="C350" s="20" t="inlineStr">
        <is>
          <t>Bassa</t>
        </is>
      </c>
      <c r="D350" s="21" t="n">
        <v>0.7</v>
      </c>
      <c r="E350" s="21" t="n">
        <v>1.1</v>
      </c>
      <c r="F350" s="20" t="inlineStr">
        <is>
          <t>-</t>
        </is>
      </c>
      <c r="G350" s="21" t="n">
        <v>1</v>
      </c>
      <c r="H350" s="22">
        <f>$B$3*D350*E350*G350</f>
        <v/>
      </c>
      <c r="I350" s="20" t="n"/>
    </row>
    <row r="351">
      <c r="A351" s="18" t="n">
        <v>46368</v>
      </c>
      <c r="B351" s="19" t="inlineStr">
        <is>
          <t>Sabato</t>
        </is>
      </c>
      <c r="C351" s="20" t="inlineStr">
        <is>
          <t>Bassa</t>
        </is>
      </c>
      <c r="D351" s="21" t="n">
        <v>0.7</v>
      </c>
      <c r="E351" s="21" t="n">
        <v>1.2</v>
      </c>
      <c r="F351" s="20" t="inlineStr">
        <is>
          <t>-</t>
        </is>
      </c>
      <c r="G351" s="21" t="n">
        <v>1</v>
      </c>
      <c r="H351" s="22">
        <f>$B$3*D351*E351*G351</f>
        <v/>
      </c>
      <c r="I351" s="20" t="n"/>
    </row>
    <row r="352">
      <c r="A352" s="18" t="n">
        <v>46369</v>
      </c>
      <c r="B352" s="19" t="inlineStr">
        <is>
          <t>Domenica</t>
        </is>
      </c>
      <c r="C352" s="20" t="inlineStr">
        <is>
          <t>Bassa</t>
        </is>
      </c>
      <c r="D352" s="21" t="n">
        <v>0.7</v>
      </c>
      <c r="E352" s="21" t="n">
        <v>1.05</v>
      </c>
      <c r="F352" s="20" t="inlineStr">
        <is>
          <t>-</t>
        </is>
      </c>
      <c r="G352" s="21" t="n">
        <v>1</v>
      </c>
      <c r="H352" s="22">
        <f>$B$3*D352*E352*G352</f>
        <v/>
      </c>
      <c r="I352" s="20" t="n"/>
    </row>
    <row r="353">
      <c r="A353" s="18" t="n">
        <v>46370</v>
      </c>
      <c r="B353" s="20" t="inlineStr">
        <is>
          <t>Lunedì</t>
        </is>
      </c>
      <c r="C353" s="20" t="inlineStr">
        <is>
          <t>Bassa</t>
        </is>
      </c>
      <c r="D353" s="21" t="n">
        <v>0.7</v>
      </c>
      <c r="E353" s="21" t="n">
        <v>0.85</v>
      </c>
      <c r="F353" s="20" t="inlineStr">
        <is>
          <t>-</t>
        </is>
      </c>
      <c r="G353" s="21" t="n">
        <v>1</v>
      </c>
      <c r="H353" s="22">
        <f>$B$3*D353*E353*G353</f>
        <v/>
      </c>
      <c r="I353" s="20" t="n"/>
    </row>
    <row r="354">
      <c r="A354" s="18" t="n">
        <v>46371</v>
      </c>
      <c r="B354" s="20" t="inlineStr">
        <is>
          <t>Martedì</t>
        </is>
      </c>
      <c r="C354" s="20" t="inlineStr">
        <is>
          <t>Bassa</t>
        </is>
      </c>
      <c r="D354" s="21" t="n">
        <v>0.7</v>
      </c>
      <c r="E354" s="21" t="n">
        <v>0.85</v>
      </c>
      <c r="F354" s="20" t="inlineStr">
        <is>
          <t>-</t>
        </is>
      </c>
      <c r="G354" s="21" t="n">
        <v>1</v>
      </c>
      <c r="H354" s="22">
        <f>$B$3*D354*E354*G354</f>
        <v/>
      </c>
      <c r="I354" s="20" t="n"/>
    </row>
    <row r="355">
      <c r="A355" s="18" t="n">
        <v>46372</v>
      </c>
      <c r="B355" s="20" t="inlineStr">
        <is>
          <t>Mercoledì</t>
        </is>
      </c>
      <c r="C355" s="20" t="inlineStr">
        <is>
          <t>Bassa</t>
        </is>
      </c>
      <c r="D355" s="21" t="n">
        <v>0.7</v>
      </c>
      <c r="E355" s="21" t="n">
        <v>0.9</v>
      </c>
      <c r="F355" s="20" t="inlineStr">
        <is>
          <t>-</t>
        </is>
      </c>
      <c r="G355" s="21" t="n">
        <v>1</v>
      </c>
      <c r="H355" s="22">
        <f>$B$3*D355*E355*G355</f>
        <v/>
      </c>
      <c r="I355" s="20" t="n"/>
    </row>
    <row r="356">
      <c r="A356" s="18" t="n">
        <v>46373</v>
      </c>
      <c r="B356" s="20" t="inlineStr">
        <is>
          <t>Giovedì</t>
        </is>
      </c>
      <c r="C356" s="20" t="inlineStr">
        <is>
          <t>Bassa</t>
        </is>
      </c>
      <c r="D356" s="21" t="n">
        <v>0.7</v>
      </c>
      <c r="E356" s="21" t="n">
        <v>0.95</v>
      </c>
      <c r="F356" s="20" t="inlineStr">
        <is>
          <t>-</t>
        </is>
      </c>
      <c r="G356" s="21" t="n">
        <v>1</v>
      </c>
      <c r="H356" s="22">
        <f>$B$3*D356*E356*G356</f>
        <v/>
      </c>
      <c r="I356" s="20" t="n"/>
    </row>
    <row r="357">
      <c r="A357" s="18" t="n">
        <v>46374</v>
      </c>
      <c r="B357" s="19" t="inlineStr">
        <is>
          <t>Venerdì</t>
        </is>
      </c>
      <c r="C357" s="20" t="inlineStr">
        <is>
          <t>Bassa</t>
        </is>
      </c>
      <c r="D357" s="21" t="n">
        <v>0.7</v>
      </c>
      <c r="E357" s="21" t="n">
        <v>1.1</v>
      </c>
      <c r="F357" s="20" t="inlineStr">
        <is>
          <t>-</t>
        </is>
      </c>
      <c r="G357" s="21" t="n">
        <v>1</v>
      </c>
      <c r="H357" s="22">
        <f>$B$3*D357*E357*G357</f>
        <v/>
      </c>
      <c r="I357" s="20" t="n"/>
    </row>
    <row r="358">
      <c r="A358" s="18" t="n">
        <v>46375</v>
      </c>
      <c r="B358" s="19" t="inlineStr">
        <is>
          <t>Sabato</t>
        </is>
      </c>
      <c r="C358" s="20" t="inlineStr">
        <is>
          <t>Bassa</t>
        </is>
      </c>
      <c r="D358" s="21" t="n">
        <v>0.7</v>
      </c>
      <c r="E358" s="21" t="n">
        <v>1.2</v>
      </c>
      <c r="F358" s="20" t="inlineStr">
        <is>
          <t>-</t>
        </is>
      </c>
      <c r="G358" s="21" t="n">
        <v>1</v>
      </c>
      <c r="H358" s="22">
        <f>$B$3*D358*E358*G358</f>
        <v/>
      </c>
      <c r="I358" s="20" t="n"/>
    </row>
    <row r="359">
      <c r="A359" s="18" t="n">
        <v>46376</v>
      </c>
      <c r="B359" s="19" t="inlineStr">
        <is>
          <t>Domenica</t>
        </is>
      </c>
      <c r="C359" s="20" t="inlineStr">
        <is>
          <t>Bassa</t>
        </is>
      </c>
      <c r="D359" s="21" t="n">
        <v>0.7</v>
      </c>
      <c r="E359" s="21" t="n">
        <v>1.05</v>
      </c>
      <c r="F359" s="20" t="inlineStr">
        <is>
          <t>-</t>
        </is>
      </c>
      <c r="G359" s="21" t="n">
        <v>1</v>
      </c>
      <c r="H359" s="22">
        <f>$B$3*D359*E359*G359</f>
        <v/>
      </c>
      <c r="I359" s="20" t="n"/>
    </row>
    <row r="360">
      <c r="A360" s="18" t="n">
        <v>46377</v>
      </c>
      <c r="B360" s="20" t="inlineStr">
        <is>
          <t>Lunedì</t>
        </is>
      </c>
      <c r="C360" s="20" t="inlineStr">
        <is>
          <t>Bassa</t>
        </is>
      </c>
      <c r="D360" s="21" t="n">
        <v>0.7</v>
      </c>
      <c r="E360" s="21" t="n">
        <v>0.85</v>
      </c>
      <c r="F360" s="20" t="inlineStr">
        <is>
          <t>-</t>
        </is>
      </c>
      <c r="G360" s="21" t="n">
        <v>1</v>
      </c>
      <c r="H360" s="22">
        <f>$B$3*D360*E360*G360</f>
        <v/>
      </c>
      <c r="I360" s="20" t="n"/>
    </row>
    <row r="361">
      <c r="A361" s="18" t="n">
        <v>46378</v>
      </c>
      <c r="B361" s="20" t="inlineStr">
        <is>
          <t>Martedì</t>
        </is>
      </c>
      <c r="C361" s="20" t="inlineStr">
        <is>
          <t>Bassa</t>
        </is>
      </c>
      <c r="D361" s="21" t="n">
        <v>0.7</v>
      </c>
      <c r="E361" s="21" t="n">
        <v>0.85</v>
      </c>
      <c r="F361" s="20" t="inlineStr">
        <is>
          <t>-</t>
        </is>
      </c>
      <c r="G361" s="21" t="n">
        <v>1</v>
      </c>
      <c r="H361" s="22">
        <f>$B$3*D361*E361*G361</f>
        <v/>
      </c>
      <c r="I361" s="20" t="n"/>
    </row>
    <row r="362">
      <c r="A362" s="18" t="n">
        <v>46379</v>
      </c>
      <c r="B362" s="20" t="inlineStr">
        <is>
          <t>Mercoledì</t>
        </is>
      </c>
      <c r="C362" s="20" t="inlineStr">
        <is>
          <t>Bassa</t>
        </is>
      </c>
      <c r="D362" s="21" t="n">
        <v>0.7</v>
      </c>
      <c r="E362" s="21" t="n">
        <v>0.9</v>
      </c>
      <c r="F362" s="20" t="inlineStr">
        <is>
          <t>-</t>
        </is>
      </c>
      <c r="G362" s="21" t="n">
        <v>1</v>
      </c>
      <c r="H362" s="22">
        <f>$B$3*D362*E362*G362</f>
        <v/>
      </c>
      <c r="I362" s="20" t="n"/>
    </row>
    <row r="363">
      <c r="A363" s="14" t="n">
        <v>46380</v>
      </c>
      <c r="B363" s="15" t="inlineStr">
        <is>
          <t>Giovedì</t>
        </is>
      </c>
      <c r="C363" s="15" t="inlineStr">
        <is>
          <t>Bassa</t>
        </is>
      </c>
      <c r="D363" s="16" t="n">
        <v>0.7</v>
      </c>
      <c r="E363" s="16" t="n">
        <v>0.95</v>
      </c>
      <c r="F363" s="15" t="inlineStr">
        <is>
          <t>Vigilia Natale</t>
        </is>
      </c>
      <c r="G363" s="16" t="n">
        <v>1.3</v>
      </c>
      <c r="H363" s="17">
        <f>$B$3*D363*E363*G363</f>
        <v/>
      </c>
      <c r="I363" s="15" t="n"/>
    </row>
    <row r="364">
      <c r="A364" s="14" t="n">
        <v>46381</v>
      </c>
      <c r="B364" s="15" t="inlineStr">
        <is>
          <t>Venerdì</t>
        </is>
      </c>
      <c r="C364" s="15" t="inlineStr">
        <is>
          <t>Bassa</t>
        </is>
      </c>
      <c r="D364" s="16" t="n">
        <v>0.7</v>
      </c>
      <c r="E364" s="16" t="n">
        <v>1.1</v>
      </c>
      <c r="F364" s="15" t="inlineStr">
        <is>
          <t>Natale</t>
        </is>
      </c>
      <c r="G364" s="16" t="n">
        <v>1.3</v>
      </c>
      <c r="H364" s="17">
        <f>$B$3*D364*E364*G364</f>
        <v/>
      </c>
      <c r="I364" s="15" t="n"/>
    </row>
    <row r="365">
      <c r="A365" s="14" t="n">
        <v>46382</v>
      </c>
      <c r="B365" s="15" t="inlineStr">
        <is>
          <t>Sabato</t>
        </is>
      </c>
      <c r="C365" s="15" t="inlineStr">
        <is>
          <t>Bassa</t>
        </is>
      </c>
      <c r="D365" s="16" t="n">
        <v>0.7</v>
      </c>
      <c r="E365" s="16" t="n">
        <v>1.2</v>
      </c>
      <c r="F365" s="15" t="inlineStr">
        <is>
          <t>Santo Stefano</t>
        </is>
      </c>
      <c r="G365" s="16" t="n">
        <v>1.3</v>
      </c>
      <c r="H365" s="17">
        <f>$B$3*D365*E365*G365</f>
        <v/>
      </c>
      <c r="I365" s="15" t="n"/>
    </row>
    <row r="366">
      <c r="A366" s="18" t="n">
        <v>46383</v>
      </c>
      <c r="B366" s="19" t="inlineStr">
        <is>
          <t>Domenica</t>
        </is>
      </c>
      <c r="C366" s="20" t="inlineStr">
        <is>
          <t>Bassa</t>
        </is>
      </c>
      <c r="D366" s="21" t="n">
        <v>0.7</v>
      </c>
      <c r="E366" s="21" t="n">
        <v>1.05</v>
      </c>
      <c r="F366" s="20" t="inlineStr">
        <is>
          <t>-</t>
        </is>
      </c>
      <c r="G366" s="21" t="n">
        <v>1</v>
      </c>
      <c r="H366" s="22">
        <f>$B$3*D366*E366*G366</f>
        <v/>
      </c>
      <c r="I366" s="20" t="n"/>
    </row>
    <row r="367">
      <c r="A367" s="18" t="n">
        <v>46384</v>
      </c>
      <c r="B367" s="20" t="inlineStr">
        <is>
          <t>Lunedì</t>
        </is>
      </c>
      <c r="C367" s="20" t="inlineStr">
        <is>
          <t>Bassa</t>
        </is>
      </c>
      <c r="D367" s="21" t="n">
        <v>0.7</v>
      </c>
      <c r="E367" s="21" t="n">
        <v>0.85</v>
      </c>
      <c r="F367" s="20" t="inlineStr">
        <is>
          <t>-</t>
        </is>
      </c>
      <c r="G367" s="21" t="n">
        <v>1</v>
      </c>
      <c r="H367" s="22">
        <f>$B$3*D367*E367*G367</f>
        <v/>
      </c>
      <c r="I367" s="20" t="n"/>
    </row>
    <row r="368">
      <c r="A368" s="18" t="n">
        <v>46385</v>
      </c>
      <c r="B368" s="20" t="inlineStr">
        <is>
          <t>Martedì</t>
        </is>
      </c>
      <c r="C368" s="20" t="inlineStr">
        <is>
          <t>Bassa</t>
        </is>
      </c>
      <c r="D368" s="21" t="n">
        <v>0.7</v>
      </c>
      <c r="E368" s="21" t="n">
        <v>0.85</v>
      </c>
      <c r="F368" s="20" t="inlineStr">
        <is>
          <t>-</t>
        </is>
      </c>
      <c r="G368" s="21" t="n">
        <v>1</v>
      </c>
      <c r="H368" s="22">
        <f>$B$3*D368*E368*G368</f>
        <v/>
      </c>
      <c r="I368" s="20" t="n"/>
    </row>
    <row r="369">
      <c r="A369" s="18" t="n">
        <v>46386</v>
      </c>
      <c r="B369" s="20" t="inlineStr">
        <is>
          <t>Mercoledì</t>
        </is>
      </c>
      <c r="C369" s="20" t="inlineStr">
        <is>
          <t>Bassa</t>
        </is>
      </c>
      <c r="D369" s="21" t="n">
        <v>0.7</v>
      </c>
      <c r="E369" s="21" t="n">
        <v>0.9</v>
      </c>
      <c r="F369" s="20" t="inlineStr">
        <is>
          <t>-</t>
        </is>
      </c>
      <c r="G369" s="21" t="n">
        <v>1</v>
      </c>
      <c r="H369" s="22">
        <f>$B$3*D369*E369*G369</f>
        <v/>
      </c>
      <c r="I369" s="20" t="n"/>
    </row>
    <row r="370">
      <c r="A370" s="14" t="n">
        <v>46387</v>
      </c>
      <c r="B370" s="15" t="inlineStr">
        <is>
          <t>Giovedì</t>
        </is>
      </c>
      <c r="C370" s="15" t="inlineStr">
        <is>
          <t>Bassa</t>
        </is>
      </c>
      <c r="D370" s="16" t="n">
        <v>0.7</v>
      </c>
      <c r="E370" s="16" t="n">
        <v>0.95</v>
      </c>
      <c r="F370" s="15" t="inlineStr">
        <is>
          <t>Capodanno</t>
        </is>
      </c>
      <c r="G370" s="16" t="n">
        <v>1.8</v>
      </c>
      <c r="H370" s="17">
        <f>$B$3*D370*E370*G370</f>
        <v/>
      </c>
      <c r="I370" s="15" t="n"/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30" customWidth="1" min="8" max="8"/>
  </cols>
  <sheetData>
    <row r="1" ht="35" customHeight="1">
      <c r="A1" s="1" t="inlineStr">
        <is>
          <t>RIASSUNTO MENSILE 2026</t>
        </is>
      </c>
    </row>
    <row r="3" ht="25" customHeight="1">
      <c r="A3" s="13" t="inlineStr">
        <is>
          <t>Mese</t>
        </is>
      </c>
      <c r="B3" s="13" t="inlineStr">
        <is>
          <t>Prezzo Min</t>
        </is>
      </c>
      <c r="C3" s="13" t="inlineStr">
        <is>
          <t>Prezzo Medio</t>
        </is>
      </c>
      <c r="D3" s="13" t="inlineStr">
        <is>
          <t>Prezzo Max</t>
        </is>
      </c>
      <c r="E3" s="13" t="inlineStr">
        <is>
          <t>Occup. Stimata</t>
        </is>
      </c>
      <c r="F3" s="13" t="inlineStr">
        <is>
          <t>Notti Vendute</t>
        </is>
      </c>
      <c r="G3" s="13" t="inlineStr">
        <is>
          <t>Ricavo Lordo</t>
        </is>
      </c>
      <c r="H3" s="13" t="inlineStr">
        <is>
          <t>Note</t>
        </is>
      </c>
    </row>
    <row r="4">
      <c r="A4" s="23" t="inlineStr">
        <is>
          <t>Gennaio</t>
        </is>
      </c>
      <c r="B4" s="24">
        <f>MIN('Calendario 2026'!H6:H36)</f>
        <v/>
      </c>
      <c r="C4" s="25">
        <f>AVERAGE('Calendario 2026'!H6:H36)</f>
        <v/>
      </c>
      <c r="D4" s="24">
        <f>MAX('Calendario 2026'!H6:H36)</f>
        <v/>
      </c>
      <c r="E4" s="26" t="n">
        <v>0.4</v>
      </c>
      <c r="F4" s="27">
        <f>ROUND(30*E4,0)</f>
        <v/>
      </c>
      <c r="G4" s="25">
        <f>F4*C4</f>
        <v/>
      </c>
      <c r="H4" s="28" t="inlineStr">
        <is>
          <t>Bassa stagione, ospedali</t>
        </is>
      </c>
    </row>
    <row r="5">
      <c r="A5" s="23" t="inlineStr">
        <is>
          <t>Febbraio</t>
        </is>
      </c>
      <c r="B5" s="24">
        <f>MIN('Calendario 2026'!H37:H64)</f>
        <v/>
      </c>
      <c r="C5" s="25">
        <f>AVERAGE('Calendario 2026'!H37:H64)</f>
        <v/>
      </c>
      <c r="D5" s="24">
        <f>MAX('Calendario 2026'!H37:H64)</f>
        <v/>
      </c>
      <c r="E5" s="26" t="n">
        <v>0.35</v>
      </c>
      <c r="F5" s="27">
        <f>ROUND(28*E5,0)</f>
        <v/>
      </c>
      <c r="G5" s="25">
        <f>F5*C5</f>
        <v/>
      </c>
      <c r="H5" s="28" t="inlineStr">
        <is>
          <t>Bassa, business</t>
        </is>
      </c>
    </row>
    <row r="6">
      <c r="A6" s="23" t="inlineStr">
        <is>
          <t>Marzo</t>
        </is>
      </c>
      <c r="B6" s="24">
        <f>MIN('Calendario 2026'!H65:H95)</f>
        <v/>
      </c>
      <c r="C6" s="25">
        <f>AVERAGE('Calendario 2026'!H65:H95)</f>
        <v/>
      </c>
      <c r="D6" s="24">
        <f>MAX('Calendario 2026'!H65:H95)</f>
        <v/>
      </c>
      <c r="E6" s="26" t="n">
        <v>0.55</v>
      </c>
      <c r="F6" s="27">
        <f>ROUND(31*E6,0)</f>
        <v/>
      </c>
      <c r="G6" s="25">
        <f>F6*C6</f>
        <v/>
      </c>
      <c r="H6" s="28" t="inlineStr">
        <is>
          <t>Inizio risveglio</t>
        </is>
      </c>
    </row>
    <row r="7">
      <c r="A7" s="23" t="inlineStr">
        <is>
          <t>Aprile</t>
        </is>
      </c>
      <c r="B7" s="24">
        <f>MIN('Calendario 2026'!H96:H125)</f>
        <v/>
      </c>
      <c r="C7" s="25">
        <f>AVERAGE('Calendario 2026'!H96:H125)</f>
        <v/>
      </c>
      <c r="D7" s="24">
        <f>MAX('Calendario 2026'!H96:H125)</f>
        <v/>
      </c>
      <c r="E7" s="26" t="n">
        <v>0.65</v>
      </c>
      <c r="F7" s="27">
        <f>ROUND(30*E7,0)</f>
        <v/>
      </c>
      <c r="G7" s="25">
        <f>F7*C7</f>
        <v/>
      </c>
      <c r="H7" s="28" t="inlineStr">
        <is>
          <t>Pasqua + ponti</t>
        </is>
      </c>
    </row>
    <row r="8">
      <c r="A8" s="23" t="inlineStr">
        <is>
          <t>Maggio</t>
        </is>
      </c>
      <c r="B8" s="24">
        <f>MIN('Calendario 2026'!H126:H156)</f>
        <v/>
      </c>
      <c r="C8" s="25">
        <f>AVERAGE('Calendario 2026'!H126:H156)</f>
        <v/>
      </c>
      <c r="D8" s="24">
        <f>MAX('Calendario 2026'!H126:H156)</f>
        <v/>
      </c>
      <c r="E8" s="26" t="n">
        <v>0.75</v>
      </c>
      <c r="F8" s="27">
        <f>ROUND(31*E8,0)</f>
        <v/>
      </c>
      <c r="G8" s="25">
        <f>F8*C8</f>
        <v/>
      </c>
      <c r="H8" s="28" t="inlineStr">
        <is>
          <t>Sant'Efisio + ottimo</t>
        </is>
      </c>
    </row>
    <row r="9">
      <c r="A9" s="23" t="inlineStr">
        <is>
          <t>Giugno</t>
        </is>
      </c>
      <c r="B9" s="24">
        <f>MIN('Calendario 2026'!H157:H186)</f>
        <v/>
      </c>
      <c r="C9" s="25">
        <f>AVERAGE('Calendario 2026'!H157:H186)</f>
        <v/>
      </c>
      <c r="D9" s="24">
        <f>MAX('Calendario 2026'!H157:H186)</f>
        <v/>
      </c>
      <c r="E9" s="26" t="n">
        <v>0.8</v>
      </c>
      <c r="F9" s="27">
        <f>ROUND(30*E9,0)</f>
        <v/>
      </c>
      <c r="G9" s="25">
        <f>F9*C9</f>
        <v/>
      </c>
      <c r="H9" s="28" t="inlineStr">
        <is>
          <t>Inizio alta</t>
        </is>
      </c>
    </row>
    <row r="10">
      <c r="A10" s="23" t="inlineStr">
        <is>
          <t>Luglio</t>
        </is>
      </c>
      <c r="B10" s="24">
        <f>MIN('Calendario 2026'!H187:H217)</f>
        <v/>
      </c>
      <c r="C10" s="25">
        <f>AVERAGE('Calendario 2026'!H187:H217)</f>
        <v/>
      </c>
      <c r="D10" s="24">
        <f>MAX('Calendario 2026'!H187:H217)</f>
        <v/>
      </c>
      <c r="E10" s="26" t="n">
        <v>0.9</v>
      </c>
      <c r="F10" s="27">
        <f>ROUND(31*E10,0)</f>
        <v/>
      </c>
      <c r="G10" s="25">
        <f>F10*C10</f>
        <v/>
      </c>
      <c r="H10" s="28" t="inlineStr">
        <is>
          <t>Alta stagione</t>
        </is>
      </c>
    </row>
    <row r="11">
      <c r="A11" s="23" t="inlineStr">
        <is>
          <t>Agosto</t>
        </is>
      </c>
      <c r="B11" s="24">
        <f>MIN('Calendario 2026'!H218:H248)</f>
        <v/>
      </c>
      <c r="C11" s="25">
        <f>AVERAGE('Calendario 2026'!H218:H248)</f>
        <v/>
      </c>
      <c r="D11" s="24">
        <f>MAX('Calendario 2026'!H218:H248)</f>
        <v/>
      </c>
      <c r="E11" s="26" t="n">
        <v>0.95</v>
      </c>
      <c r="F11" s="27">
        <f>ROUND(31*E11,0)</f>
        <v/>
      </c>
      <c r="G11" s="25">
        <f>F11*C11</f>
        <v/>
      </c>
      <c r="H11" s="28" t="inlineStr">
        <is>
          <t>Picco assoluto</t>
        </is>
      </c>
    </row>
    <row r="12">
      <c r="A12" s="23" t="inlineStr">
        <is>
          <t>Settembre</t>
        </is>
      </c>
      <c r="B12" s="24">
        <f>MIN('Calendario 2026'!H249:H278)</f>
        <v/>
      </c>
      <c r="C12" s="25">
        <f>AVERAGE('Calendario 2026'!H249:H278)</f>
        <v/>
      </c>
      <c r="D12" s="24">
        <f>MAX('Calendario 2026'!H249:H278)</f>
        <v/>
      </c>
      <c r="E12" s="26" t="n">
        <v>0.8</v>
      </c>
      <c r="F12" s="27">
        <f>ROUND(30*E12,0)</f>
        <v/>
      </c>
      <c r="G12" s="25">
        <f>F12*C12</f>
        <v/>
      </c>
      <c r="H12" s="28" t="inlineStr">
        <is>
          <t>Coda d'estate</t>
        </is>
      </c>
    </row>
    <row r="13">
      <c r="A13" s="23" t="inlineStr">
        <is>
          <t>Ottobre</t>
        </is>
      </c>
      <c r="B13" s="24">
        <f>MIN('Calendario 2026'!H279:H309)</f>
        <v/>
      </c>
      <c r="C13" s="25">
        <f>AVERAGE('Calendario 2026'!H279:H309)</f>
        <v/>
      </c>
      <c r="D13" s="24">
        <f>MAX('Calendario 2026'!H279:H309)</f>
        <v/>
      </c>
      <c r="E13" s="26" t="n">
        <v>0.55</v>
      </c>
      <c r="F13" s="27">
        <f>ROUND(31*E13,0)</f>
        <v/>
      </c>
      <c r="G13" s="25">
        <f>F13*C13</f>
        <v/>
      </c>
      <c r="H13" s="28" t="inlineStr">
        <is>
          <t>Discesa</t>
        </is>
      </c>
    </row>
    <row r="14">
      <c r="A14" s="23" t="inlineStr">
        <is>
          <t>Novembre</t>
        </is>
      </c>
      <c r="B14" s="24">
        <f>MIN('Calendario 2026'!H310:H339)</f>
        <v/>
      </c>
      <c r="C14" s="25">
        <f>AVERAGE('Calendario 2026'!H310:H339)</f>
        <v/>
      </c>
      <c r="D14" s="24">
        <f>MAX('Calendario 2026'!H310:H339)</f>
        <v/>
      </c>
      <c r="E14" s="26" t="n">
        <v>0.35</v>
      </c>
      <c r="F14" s="27">
        <f>ROUND(30*E14,0)</f>
        <v/>
      </c>
      <c r="G14" s="25">
        <f>F14*C14</f>
        <v/>
      </c>
      <c r="H14" s="28" t="inlineStr">
        <is>
          <t>Bassa stagione</t>
        </is>
      </c>
    </row>
    <row r="15">
      <c r="A15" s="23" t="inlineStr">
        <is>
          <t>Dicembre</t>
        </is>
      </c>
      <c r="B15" s="24">
        <f>MIN('Calendario 2026'!H340:H370)</f>
        <v/>
      </c>
      <c r="C15" s="25">
        <f>AVERAGE('Calendario 2026'!H340:H370)</f>
        <v/>
      </c>
      <c r="D15" s="24">
        <f>MAX('Calendario 2026'!H340:H370)</f>
        <v/>
      </c>
      <c r="E15" s="26" t="n">
        <v>0.5</v>
      </c>
      <c r="F15" s="27">
        <f>ROUND(31*E15,0)</f>
        <v/>
      </c>
      <c r="G15" s="25">
        <f>F15*C15</f>
        <v/>
      </c>
      <c r="H15" s="28" t="inlineStr">
        <is>
          <t>Festività</t>
        </is>
      </c>
    </row>
    <row r="16">
      <c r="A16" s="29" t="inlineStr">
        <is>
          <t>TOTALE ANNO</t>
        </is>
      </c>
      <c r="C16" s="30">
        <f>AVERAGE(C4:C15)</f>
        <v/>
      </c>
      <c r="E16" s="31">
        <f>AVERAGE(E4:E15)</f>
        <v/>
      </c>
      <c r="F16" s="32">
        <f>SUM(F4:F15)</f>
        <v/>
      </c>
      <c r="G16" s="30">
        <f>SUM(G4:G15)</f>
        <v/>
      </c>
    </row>
    <row r="18">
      <c r="A18" s="33" t="inlineStr">
        <is>
          <t>CALCOLO NETTO ANNUALE</t>
        </is>
      </c>
    </row>
    <row r="19">
      <c r="A19" s="5" t="inlineStr">
        <is>
          <t>Ricavo Lordo Annuale</t>
        </is>
      </c>
      <c r="B19" s="10">
        <f>G16</f>
        <v/>
      </c>
    </row>
    <row r="20">
      <c r="A20" s="5" t="inlineStr">
        <is>
          <t>(-) Costi operativi (pulizie, utenze)</t>
        </is>
      </c>
      <c r="B20" s="10">
        <f>F16*Setup!B8</f>
        <v/>
      </c>
    </row>
    <row r="21">
      <c r="A21" s="5" t="inlineStr">
        <is>
          <t>(-) Commissioni piattaforme medie (~10%)</t>
        </is>
      </c>
      <c r="B21" s="10">
        <f>G16*0.10</f>
        <v/>
      </c>
    </row>
    <row r="22">
      <c r="A22" s="34">
        <f> Ricavo Netto Pre-tasse</f>
        <v/>
      </c>
      <c r="B22" s="35">
        <f>B19-B20-B21</f>
        <v/>
      </c>
    </row>
    <row r="23">
      <c r="A23" s="5" t="inlineStr">
        <is>
          <t>(-) Cedolare secca 21%</t>
        </is>
      </c>
      <c r="B23" s="10">
        <f>B22*Setup!B9</f>
        <v/>
      </c>
    </row>
    <row r="24">
      <c r="A24" s="36">
        <f> NETTO FINALE</f>
        <v/>
      </c>
      <c r="B24" s="37">
        <f>B22-B23</f>
        <v/>
      </c>
    </row>
  </sheetData>
  <mergeCells count="2">
    <mergeCell ref="A18:H18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25" customWidth="1" min="4" max="4"/>
    <col width="14" customWidth="1" min="5" max="5"/>
    <col width="14" customWidth="1" min="6" max="6"/>
    <col width="14" customWidth="1" min="7" max="7"/>
    <col width="14" customWidth="1" min="8" max="8"/>
    <col width="30" customWidth="1" min="9" max="9"/>
  </cols>
  <sheetData>
    <row r="1" ht="35" customHeight="1">
      <c r="A1" s="1" t="inlineStr">
        <is>
          <t>TRACK PRENOTAZIONI 2026</t>
        </is>
      </c>
    </row>
    <row r="3" ht="25" customHeight="1">
      <c r="A3" s="4" t="inlineStr">
        <is>
          <t>Data Check-in</t>
        </is>
      </c>
      <c r="B3" s="4" t="inlineStr">
        <is>
          <t>Data Check-out</t>
        </is>
      </c>
      <c r="C3" s="4" t="inlineStr">
        <is>
          <t>Notti</t>
        </is>
      </c>
      <c r="D3" s="4" t="inlineStr">
        <is>
          <t>Ospite</t>
        </is>
      </c>
      <c r="E3" s="4" t="inlineStr">
        <is>
          <t>Piattaforma</t>
        </is>
      </c>
      <c r="F3" s="4" t="inlineStr">
        <is>
          <t>Prezzo Tot</t>
        </is>
      </c>
      <c r="G3" s="4" t="inlineStr">
        <is>
          <t>Commissione</t>
        </is>
      </c>
      <c r="H3" s="4" t="inlineStr">
        <is>
          <t>Netto</t>
        </is>
      </c>
      <c r="I3" s="4" t="inlineStr">
        <is>
          <t>Note</t>
        </is>
      </c>
    </row>
    <row r="4">
      <c r="A4" s="38" t="n"/>
      <c r="B4" s="38" t="n"/>
      <c r="C4" s="39">
        <f>IF(AND(A4&lt;&gt;"",B4&lt;&gt;""),B4-A4,"")</f>
        <v/>
      </c>
      <c r="D4" s="39" t="n"/>
      <c r="E4" s="39" t="n"/>
      <c r="F4" s="40" t="n"/>
      <c r="G4" s="40" t="n"/>
      <c r="H4" s="40">
        <f>IF(AND(F4&lt;&gt;"",G4&lt;&gt;""),F4-G4,"")</f>
        <v/>
      </c>
      <c r="I4" s="39" t="n"/>
    </row>
    <row r="5">
      <c r="A5" s="38" t="n"/>
      <c r="B5" s="38" t="n"/>
      <c r="C5" s="39">
        <f>IF(AND(A5&lt;&gt;"",B5&lt;&gt;""),B5-A5,"")</f>
        <v/>
      </c>
      <c r="D5" s="39" t="n"/>
      <c r="E5" s="39" t="n"/>
      <c r="F5" s="40" t="n"/>
      <c r="G5" s="40" t="n"/>
      <c r="H5" s="40">
        <f>IF(AND(F5&lt;&gt;"",G5&lt;&gt;""),F5-G5,"")</f>
        <v/>
      </c>
      <c r="I5" s="39" t="n"/>
    </row>
    <row r="6">
      <c r="A6" s="38" t="n"/>
      <c r="B6" s="38" t="n"/>
      <c r="C6" s="39">
        <f>IF(AND(A6&lt;&gt;"",B6&lt;&gt;""),B6-A6,"")</f>
        <v/>
      </c>
      <c r="D6" s="39" t="n"/>
      <c r="E6" s="39" t="n"/>
      <c r="F6" s="40" t="n"/>
      <c r="G6" s="40" t="n"/>
      <c r="H6" s="40">
        <f>IF(AND(F6&lt;&gt;"",G6&lt;&gt;""),F6-G6,"")</f>
        <v/>
      </c>
      <c r="I6" s="39" t="n"/>
    </row>
    <row r="7">
      <c r="A7" s="38" t="n"/>
      <c r="B7" s="38" t="n"/>
      <c r="C7" s="39">
        <f>IF(AND(A7&lt;&gt;"",B7&lt;&gt;""),B7-A7,"")</f>
        <v/>
      </c>
      <c r="D7" s="39" t="n"/>
      <c r="E7" s="39" t="n"/>
      <c r="F7" s="40" t="n"/>
      <c r="G7" s="40" t="n"/>
      <c r="H7" s="40">
        <f>IF(AND(F7&lt;&gt;"",G7&lt;&gt;""),F7-G7,"")</f>
        <v/>
      </c>
      <c r="I7" s="39" t="n"/>
    </row>
    <row r="8">
      <c r="A8" s="38" t="n"/>
      <c r="B8" s="38" t="n"/>
      <c r="C8" s="39">
        <f>IF(AND(A8&lt;&gt;"",B8&lt;&gt;""),B8-A8,"")</f>
        <v/>
      </c>
      <c r="D8" s="39" t="n"/>
      <c r="E8" s="39" t="n"/>
      <c r="F8" s="40" t="n"/>
      <c r="G8" s="40" t="n"/>
      <c r="H8" s="40">
        <f>IF(AND(F8&lt;&gt;"",G8&lt;&gt;""),F8-G8,"")</f>
        <v/>
      </c>
      <c r="I8" s="39" t="n"/>
    </row>
    <row r="9">
      <c r="A9" s="38" t="n"/>
      <c r="B9" s="38" t="n"/>
      <c r="C9" s="39">
        <f>IF(AND(A9&lt;&gt;"",B9&lt;&gt;""),B9-A9,"")</f>
        <v/>
      </c>
      <c r="D9" s="39" t="n"/>
      <c r="E9" s="39" t="n"/>
      <c r="F9" s="40" t="n"/>
      <c r="G9" s="40" t="n"/>
      <c r="H9" s="40">
        <f>IF(AND(F9&lt;&gt;"",G9&lt;&gt;""),F9-G9,"")</f>
        <v/>
      </c>
      <c r="I9" s="39" t="n"/>
    </row>
    <row r="10">
      <c r="A10" s="38" t="n"/>
      <c r="B10" s="38" t="n"/>
      <c r="C10" s="39">
        <f>IF(AND(A10&lt;&gt;"",B10&lt;&gt;""),B10-A10,"")</f>
        <v/>
      </c>
      <c r="D10" s="39" t="n"/>
      <c r="E10" s="39" t="n"/>
      <c r="F10" s="40" t="n"/>
      <c r="G10" s="40" t="n"/>
      <c r="H10" s="40">
        <f>IF(AND(F10&lt;&gt;"",G10&lt;&gt;""),F10-G10,"")</f>
        <v/>
      </c>
      <c r="I10" s="39" t="n"/>
    </row>
    <row r="11">
      <c r="A11" s="38" t="n"/>
      <c r="B11" s="38" t="n"/>
      <c r="C11" s="39">
        <f>IF(AND(A11&lt;&gt;"",B11&lt;&gt;""),B11-A11,"")</f>
        <v/>
      </c>
      <c r="D11" s="39" t="n"/>
      <c r="E11" s="39" t="n"/>
      <c r="F11" s="40" t="n"/>
      <c r="G11" s="40" t="n"/>
      <c r="H11" s="40">
        <f>IF(AND(F11&lt;&gt;"",G11&lt;&gt;""),F11-G11,"")</f>
        <v/>
      </c>
      <c r="I11" s="39" t="n"/>
    </row>
    <row r="12">
      <c r="A12" s="38" t="n"/>
      <c r="B12" s="38" t="n"/>
      <c r="C12" s="39">
        <f>IF(AND(A12&lt;&gt;"",B12&lt;&gt;""),B12-A12,"")</f>
        <v/>
      </c>
      <c r="D12" s="39" t="n"/>
      <c r="E12" s="39" t="n"/>
      <c r="F12" s="40" t="n"/>
      <c r="G12" s="40" t="n"/>
      <c r="H12" s="40">
        <f>IF(AND(F12&lt;&gt;"",G12&lt;&gt;""),F12-G12,"")</f>
        <v/>
      </c>
      <c r="I12" s="39" t="n"/>
    </row>
    <row r="13">
      <c r="A13" s="38" t="n"/>
      <c r="B13" s="38" t="n"/>
      <c r="C13" s="39">
        <f>IF(AND(A13&lt;&gt;"",B13&lt;&gt;""),B13-A13,"")</f>
        <v/>
      </c>
      <c r="D13" s="39" t="n"/>
      <c r="E13" s="39" t="n"/>
      <c r="F13" s="40" t="n"/>
      <c r="G13" s="40" t="n"/>
      <c r="H13" s="40">
        <f>IF(AND(F13&lt;&gt;"",G13&lt;&gt;""),F13-G13,"")</f>
        <v/>
      </c>
      <c r="I13" s="39" t="n"/>
    </row>
    <row r="14">
      <c r="A14" s="38" t="n"/>
      <c r="B14" s="38" t="n"/>
      <c r="C14" s="39">
        <f>IF(AND(A14&lt;&gt;"",B14&lt;&gt;""),B14-A14,"")</f>
        <v/>
      </c>
      <c r="D14" s="39" t="n"/>
      <c r="E14" s="39" t="n"/>
      <c r="F14" s="40" t="n"/>
      <c r="G14" s="40" t="n"/>
      <c r="H14" s="40">
        <f>IF(AND(F14&lt;&gt;"",G14&lt;&gt;""),F14-G14,"")</f>
        <v/>
      </c>
      <c r="I14" s="39" t="n"/>
    </row>
    <row r="15">
      <c r="A15" s="38" t="n"/>
      <c r="B15" s="38" t="n"/>
      <c r="C15" s="39">
        <f>IF(AND(A15&lt;&gt;"",B15&lt;&gt;""),B15-A15,"")</f>
        <v/>
      </c>
      <c r="D15" s="39" t="n"/>
      <c r="E15" s="39" t="n"/>
      <c r="F15" s="40" t="n"/>
      <c r="G15" s="40" t="n"/>
      <c r="H15" s="40">
        <f>IF(AND(F15&lt;&gt;"",G15&lt;&gt;""),F15-G15,"")</f>
        <v/>
      </c>
      <c r="I15" s="39" t="n"/>
    </row>
    <row r="16">
      <c r="A16" s="38" t="n"/>
      <c r="B16" s="38" t="n"/>
      <c r="C16" s="39">
        <f>IF(AND(A16&lt;&gt;"",B16&lt;&gt;""),B16-A16,"")</f>
        <v/>
      </c>
      <c r="D16" s="39" t="n"/>
      <c r="E16" s="39" t="n"/>
      <c r="F16" s="40" t="n"/>
      <c r="G16" s="40" t="n"/>
      <c r="H16" s="40">
        <f>IF(AND(F16&lt;&gt;"",G16&lt;&gt;""),F16-G16,"")</f>
        <v/>
      </c>
      <c r="I16" s="39" t="n"/>
    </row>
    <row r="17">
      <c r="A17" s="38" t="n"/>
      <c r="B17" s="38" t="n"/>
      <c r="C17" s="39">
        <f>IF(AND(A17&lt;&gt;"",B17&lt;&gt;""),B17-A17,"")</f>
        <v/>
      </c>
      <c r="D17" s="39" t="n"/>
      <c r="E17" s="39" t="n"/>
      <c r="F17" s="40" t="n"/>
      <c r="G17" s="40" t="n"/>
      <c r="H17" s="40">
        <f>IF(AND(F17&lt;&gt;"",G17&lt;&gt;""),F17-G17,"")</f>
        <v/>
      </c>
      <c r="I17" s="39" t="n"/>
    </row>
    <row r="18">
      <c r="A18" s="38" t="n"/>
      <c r="B18" s="38" t="n"/>
      <c r="C18" s="39">
        <f>IF(AND(A18&lt;&gt;"",B18&lt;&gt;""),B18-A18,"")</f>
        <v/>
      </c>
      <c r="D18" s="39" t="n"/>
      <c r="E18" s="39" t="n"/>
      <c r="F18" s="40" t="n"/>
      <c r="G18" s="40" t="n"/>
      <c r="H18" s="40">
        <f>IF(AND(F18&lt;&gt;"",G18&lt;&gt;""),F18-G18,"")</f>
        <v/>
      </c>
      <c r="I18" s="39" t="n"/>
    </row>
    <row r="19">
      <c r="A19" s="38" t="n"/>
      <c r="B19" s="38" t="n"/>
      <c r="C19" s="39">
        <f>IF(AND(A19&lt;&gt;"",B19&lt;&gt;""),B19-A19,"")</f>
        <v/>
      </c>
      <c r="D19" s="39" t="n"/>
      <c r="E19" s="39" t="n"/>
      <c r="F19" s="40" t="n"/>
      <c r="G19" s="40" t="n"/>
      <c r="H19" s="40">
        <f>IF(AND(F19&lt;&gt;"",G19&lt;&gt;""),F19-G19,"")</f>
        <v/>
      </c>
      <c r="I19" s="39" t="n"/>
    </row>
    <row r="20">
      <c r="A20" s="38" t="n"/>
      <c r="B20" s="38" t="n"/>
      <c r="C20" s="39">
        <f>IF(AND(A20&lt;&gt;"",B20&lt;&gt;""),B20-A20,"")</f>
        <v/>
      </c>
      <c r="D20" s="39" t="n"/>
      <c r="E20" s="39" t="n"/>
      <c r="F20" s="40" t="n"/>
      <c r="G20" s="40" t="n"/>
      <c r="H20" s="40">
        <f>IF(AND(F20&lt;&gt;"",G20&lt;&gt;""),F20-G20,"")</f>
        <v/>
      </c>
      <c r="I20" s="39" t="n"/>
    </row>
    <row r="21">
      <c r="A21" s="38" t="n"/>
      <c r="B21" s="38" t="n"/>
      <c r="C21" s="39">
        <f>IF(AND(A21&lt;&gt;"",B21&lt;&gt;""),B21-A21,"")</f>
        <v/>
      </c>
      <c r="D21" s="39" t="n"/>
      <c r="E21" s="39" t="n"/>
      <c r="F21" s="40" t="n"/>
      <c r="G21" s="40" t="n"/>
      <c r="H21" s="40">
        <f>IF(AND(F21&lt;&gt;"",G21&lt;&gt;""),F21-G21,"")</f>
        <v/>
      </c>
      <c r="I21" s="39" t="n"/>
    </row>
    <row r="22">
      <c r="A22" s="38" t="n"/>
      <c r="B22" s="38" t="n"/>
      <c r="C22" s="39">
        <f>IF(AND(A22&lt;&gt;"",B22&lt;&gt;""),B22-A22,"")</f>
        <v/>
      </c>
      <c r="D22" s="39" t="n"/>
      <c r="E22" s="39" t="n"/>
      <c r="F22" s="40" t="n"/>
      <c r="G22" s="40" t="n"/>
      <c r="H22" s="40">
        <f>IF(AND(F22&lt;&gt;"",G22&lt;&gt;""),F22-G22,"")</f>
        <v/>
      </c>
      <c r="I22" s="39" t="n"/>
    </row>
    <row r="23">
      <c r="A23" s="38" t="n"/>
      <c r="B23" s="38" t="n"/>
      <c r="C23" s="39">
        <f>IF(AND(A23&lt;&gt;"",B23&lt;&gt;""),B23-A23,"")</f>
        <v/>
      </c>
      <c r="D23" s="39" t="n"/>
      <c r="E23" s="39" t="n"/>
      <c r="F23" s="40" t="n"/>
      <c r="G23" s="40" t="n"/>
      <c r="H23" s="40">
        <f>IF(AND(F23&lt;&gt;"",G23&lt;&gt;""),F23-G23,"")</f>
        <v/>
      </c>
      <c r="I23" s="39" t="n"/>
    </row>
    <row r="24">
      <c r="A24" s="38" t="n"/>
      <c r="B24" s="38" t="n"/>
      <c r="C24" s="39">
        <f>IF(AND(A24&lt;&gt;"",B24&lt;&gt;""),B24-A24,"")</f>
        <v/>
      </c>
      <c r="D24" s="39" t="n"/>
      <c r="E24" s="39" t="n"/>
      <c r="F24" s="40" t="n"/>
      <c r="G24" s="40" t="n"/>
      <c r="H24" s="40">
        <f>IF(AND(F24&lt;&gt;"",G24&lt;&gt;""),F24-G24,"")</f>
        <v/>
      </c>
      <c r="I24" s="39" t="n"/>
    </row>
    <row r="25">
      <c r="A25" s="38" t="n"/>
      <c r="B25" s="38" t="n"/>
      <c r="C25" s="39">
        <f>IF(AND(A25&lt;&gt;"",B25&lt;&gt;""),B25-A25,"")</f>
        <v/>
      </c>
      <c r="D25" s="39" t="n"/>
      <c r="E25" s="39" t="n"/>
      <c r="F25" s="40" t="n"/>
      <c r="G25" s="40" t="n"/>
      <c r="H25" s="40">
        <f>IF(AND(F25&lt;&gt;"",G25&lt;&gt;""),F25-G25,"")</f>
        <v/>
      </c>
      <c r="I25" s="39" t="n"/>
    </row>
    <row r="26">
      <c r="A26" s="38" t="n"/>
      <c r="B26" s="38" t="n"/>
      <c r="C26" s="39">
        <f>IF(AND(A26&lt;&gt;"",B26&lt;&gt;""),B26-A26,"")</f>
        <v/>
      </c>
      <c r="D26" s="39" t="n"/>
      <c r="E26" s="39" t="n"/>
      <c r="F26" s="40" t="n"/>
      <c r="G26" s="40" t="n"/>
      <c r="H26" s="40">
        <f>IF(AND(F26&lt;&gt;"",G26&lt;&gt;""),F26-G26,"")</f>
        <v/>
      </c>
      <c r="I26" s="39" t="n"/>
    </row>
    <row r="27">
      <c r="A27" s="38" t="n"/>
      <c r="B27" s="38" t="n"/>
      <c r="C27" s="39">
        <f>IF(AND(A27&lt;&gt;"",B27&lt;&gt;""),B27-A27,"")</f>
        <v/>
      </c>
      <c r="D27" s="39" t="n"/>
      <c r="E27" s="39" t="n"/>
      <c r="F27" s="40" t="n"/>
      <c r="G27" s="40" t="n"/>
      <c r="H27" s="40">
        <f>IF(AND(F27&lt;&gt;"",G27&lt;&gt;""),F27-G27,"")</f>
        <v/>
      </c>
      <c r="I27" s="39" t="n"/>
    </row>
    <row r="28">
      <c r="A28" s="38" t="n"/>
      <c r="B28" s="38" t="n"/>
      <c r="C28" s="39">
        <f>IF(AND(A28&lt;&gt;"",B28&lt;&gt;""),B28-A28,"")</f>
        <v/>
      </c>
      <c r="D28" s="39" t="n"/>
      <c r="E28" s="39" t="n"/>
      <c r="F28" s="40" t="n"/>
      <c r="G28" s="40" t="n"/>
      <c r="H28" s="40">
        <f>IF(AND(F28&lt;&gt;"",G28&lt;&gt;""),F28-G28,"")</f>
        <v/>
      </c>
      <c r="I28" s="39" t="n"/>
    </row>
    <row r="29">
      <c r="A29" s="38" t="n"/>
      <c r="B29" s="38" t="n"/>
      <c r="C29" s="39">
        <f>IF(AND(A29&lt;&gt;"",B29&lt;&gt;""),B29-A29,"")</f>
        <v/>
      </c>
      <c r="D29" s="39" t="n"/>
      <c r="E29" s="39" t="n"/>
      <c r="F29" s="40" t="n"/>
      <c r="G29" s="40" t="n"/>
      <c r="H29" s="40">
        <f>IF(AND(F29&lt;&gt;"",G29&lt;&gt;""),F29-G29,"")</f>
        <v/>
      </c>
      <c r="I29" s="39" t="n"/>
    </row>
    <row r="30">
      <c r="A30" s="38" t="n"/>
      <c r="B30" s="38" t="n"/>
      <c r="C30" s="39">
        <f>IF(AND(A30&lt;&gt;"",B30&lt;&gt;""),B30-A30,"")</f>
        <v/>
      </c>
      <c r="D30" s="39" t="n"/>
      <c r="E30" s="39" t="n"/>
      <c r="F30" s="40" t="n"/>
      <c r="G30" s="40" t="n"/>
      <c r="H30" s="40">
        <f>IF(AND(F30&lt;&gt;"",G30&lt;&gt;""),F30-G30,"")</f>
        <v/>
      </c>
      <c r="I30" s="39" t="n"/>
    </row>
    <row r="31">
      <c r="A31" s="38" t="n"/>
      <c r="B31" s="38" t="n"/>
      <c r="C31" s="39">
        <f>IF(AND(A31&lt;&gt;"",B31&lt;&gt;""),B31-A31,"")</f>
        <v/>
      </c>
      <c r="D31" s="39" t="n"/>
      <c r="E31" s="39" t="n"/>
      <c r="F31" s="40" t="n"/>
      <c r="G31" s="40" t="n"/>
      <c r="H31" s="40">
        <f>IF(AND(F31&lt;&gt;"",G31&lt;&gt;""),F31-G31,"")</f>
        <v/>
      </c>
      <c r="I31" s="39" t="n"/>
    </row>
    <row r="32">
      <c r="A32" s="38" t="n"/>
      <c r="B32" s="38" t="n"/>
      <c r="C32" s="39">
        <f>IF(AND(A32&lt;&gt;"",B32&lt;&gt;""),B32-A32,"")</f>
        <v/>
      </c>
      <c r="D32" s="39" t="n"/>
      <c r="E32" s="39" t="n"/>
      <c r="F32" s="40" t="n"/>
      <c r="G32" s="40" t="n"/>
      <c r="H32" s="40">
        <f>IF(AND(F32&lt;&gt;"",G32&lt;&gt;""),F32-G32,"")</f>
        <v/>
      </c>
      <c r="I32" s="39" t="n"/>
    </row>
    <row r="33">
      <c r="A33" s="38" t="n"/>
      <c r="B33" s="38" t="n"/>
      <c r="C33" s="39">
        <f>IF(AND(A33&lt;&gt;"",B33&lt;&gt;""),B33-A33,"")</f>
        <v/>
      </c>
      <c r="D33" s="39" t="n"/>
      <c r="E33" s="39" t="n"/>
      <c r="F33" s="40" t="n"/>
      <c r="G33" s="40" t="n"/>
      <c r="H33" s="40">
        <f>IF(AND(F33&lt;&gt;"",G33&lt;&gt;""),F33-G33,"")</f>
        <v/>
      </c>
      <c r="I33" s="39" t="n"/>
    </row>
    <row r="34">
      <c r="A34" s="38" t="n"/>
      <c r="B34" s="38" t="n"/>
      <c r="C34" s="39">
        <f>IF(AND(A34&lt;&gt;"",B34&lt;&gt;""),B34-A34,"")</f>
        <v/>
      </c>
      <c r="D34" s="39" t="n"/>
      <c r="E34" s="39" t="n"/>
      <c r="F34" s="40" t="n"/>
      <c r="G34" s="40" t="n"/>
      <c r="H34" s="40">
        <f>IF(AND(F34&lt;&gt;"",G34&lt;&gt;""),F34-G34,"")</f>
        <v/>
      </c>
      <c r="I34" s="39" t="n"/>
    </row>
    <row r="35">
      <c r="A35" s="38" t="n"/>
      <c r="B35" s="38" t="n"/>
      <c r="C35" s="39">
        <f>IF(AND(A35&lt;&gt;"",B35&lt;&gt;""),B35-A35,"")</f>
        <v/>
      </c>
      <c r="D35" s="39" t="n"/>
      <c r="E35" s="39" t="n"/>
      <c r="F35" s="40" t="n"/>
      <c r="G35" s="40" t="n"/>
      <c r="H35" s="40">
        <f>IF(AND(F35&lt;&gt;"",G35&lt;&gt;""),F35-G35,"")</f>
        <v/>
      </c>
      <c r="I35" s="39" t="n"/>
    </row>
    <row r="36">
      <c r="A36" s="38" t="n"/>
      <c r="B36" s="38" t="n"/>
      <c r="C36" s="39">
        <f>IF(AND(A36&lt;&gt;"",B36&lt;&gt;""),B36-A36,"")</f>
        <v/>
      </c>
      <c r="D36" s="39" t="n"/>
      <c r="E36" s="39" t="n"/>
      <c r="F36" s="40" t="n"/>
      <c r="G36" s="40" t="n"/>
      <c r="H36" s="40">
        <f>IF(AND(F36&lt;&gt;"",G36&lt;&gt;""),F36-G36,"")</f>
        <v/>
      </c>
      <c r="I36" s="39" t="n"/>
    </row>
    <row r="37">
      <c r="A37" s="38" t="n"/>
      <c r="B37" s="38" t="n"/>
      <c r="C37" s="39">
        <f>IF(AND(A37&lt;&gt;"",B37&lt;&gt;""),B37-A37,"")</f>
        <v/>
      </c>
      <c r="D37" s="39" t="n"/>
      <c r="E37" s="39" t="n"/>
      <c r="F37" s="40" t="n"/>
      <c r="G37" s="40" t="n"/>
      <c r="H37" s="40">
        <f>IF(AND(F37&lt;&gt;"",G37&lt;&gt;""),F37-G37,"")</f>
        <v/>
      </c>
      <c r="I37" s="39" t="n"/>
    </row>
    <row r="38">
      <c r="A38" s="38" t="n"/>
      <c r="B38" s="38" t="n"/>
      <c r="C38" s="39">
        <f>IF(AND(A38&lt;&gt;"",B38&lt;&gt;""),B38-A38,"")</f>
        <v/>
      </c>
      <c r="D38" s="39" t="n"/>
      <c r="E38" s="39" t="n"/>
      <c r="F38" s="40" t="n"/>
      <c r="G38" s="40" t="n"/>
      <c r="H38" s="40">
        <f>IF(AND(F38&lt;&gt;"",G38&lt;&gt;""),F38-G38,"")</f>
        <v/>
      </c>
      <c r="I38" s="39" t="n"/>
    </row>
    <row r="39">
      <c r="A39" s="38" t="n"/>
      <c r="B39" s="38" t="n"/>
      <c r="C39" s="39">
        <f>IF(AND(A39&lt;&gt;"",B39&lt;&gt;""),B39-A39,"")</f>
        <v/>
      </c>
      <c r="D39" s="39" t="n"/>
      <c r="E39" s="39" t="n"/>
      <c r="F39" s="40" t="n"/>
      <c r="G39" s="40" t="n"/>
      <c r="H39" s="40">
        <f>IF(AND(F39&lt;&gt;"",G39&lt;&gt;""),F39-G39,"")</f>
        <v/>
      </c>
      <c r="I39" s="39" t="n"/>
    </row>
    <row r="40">
      <c r="A40" s="38" t="n"/>
      <c r="B40" s="38" t="n"/>
      <c r="C40" s="39">
        <f>IF(AND(A40&lt;&gt;"",B40&lt;&gt;""),B40-A40,"")</f>
        <v/>
      </c>
      <c r="D40" s="39" t="n"/>
      <c r="E40" s="39" t="n"/>
      <c r="F40" s="40" t="n"/>
      <c r="G40" s="40" t="n"/>
      <c r="H40" s="40">
        <f>IF(AND(F40&lt;&gt;"",G40&lt;&gt;""),F40-G40,"")</f>
        <v/>
      </c>
      <c r="I40" s="39" t="n"/>
    </row>
    <row r="41">
      <c r="A41" s="38" t="n"/>
      <c r="B41" s="38" t="n"/>
      <c r="C41" s="39">
        <f>IF(AND(A41&lt;&gt;"",B41&lt;&gt;""),B41-A41,"")</f>
        <v/>
      </c>
      <c r="D41" s="39" t="n"/>
      <c r="E41" s="39" t="n"/>
      <c r="F41" s="40" t="n"/>
      <c r="G41" s="40" t="n"/>
      <c r="H41" s="40">
        <f>IF(AND(F41&lt;&gt;"",G41&lt;&gt;""),F41-G41,"")</f>
        <v/>
      </c>
      <c r="I41" s="39" t="n"/>
    </row>
    <row r="42">
      <c r="A42" s="38" t="n"/>
      <c r="B42" s="38" t="n"/>
      <c r="C42" s="39">
        <f>IF(AND(A42&lt;&gt;"",B42&lt;&gt;""),B42-A42,"")</f>
        <v/>
      </c>
      <c r="D42" s="39" t="n"/>
      <c r="E42" s="39" t="n"/>
      <c r="F42" s="40" t="n"/>
      <c r="G42" s="40" t="n"/>
      <c r="H42" s="40">
        <f>IF(AND(F42&lt;&gt;"",G42&lt;&gt;""),F42-G42,"")</f>
        <v/>
      </c>
      <c r="I42" s="39" t="n"/>
    </row>
    <row r="43">
      <c r="A43" s="38" t="n"/>
      <c r="B43" s="38" t="n"/>
      <c r="C43" s="39">
        <f>IF(AND(A43&lt;&gt;"",B43&lt;&gt;""),B43-A43,"")</f>
        <v/>
      </c>
      <c r="D43" s="39" t="n"/>
      <c r="E43" s="39" t="n"/>
      <c r="F43" s="40" t="n"/>
      <c r="G43" s="40" t="n"/>
      <c r="H43" s="40">
        <f>IF(AND(F43&lt;&gt;"",G43&lt;&gt;""),F43-G43,"")</f>
        <v/>
      </c>
      <c r="I43" s="39" t="n"/>
    </row>
    <row r="44">
      <c r="A44" s="38" t="n"/>
      <c r="B44" s="38" t="n"/>
      <c r="C44" s="39">
        <f>IF(AND(A44&lt;&gt;"",B44&lt;&gt;""),B44-A44,"")</f>
        <v/>
      </c>
      <c r="D44" s="39" t="n"/>
      <c r="E44" s="39" t="n"/>
      <c r="F44" s="40" t="n"/>
      <c r="G44" s="40" t="n"/>
      <c r="H44" s="40">
        <f>IF(AND(F44&lt;&gt;"",G44&lt;&gt;""),F44-G44,"")</f>
        <v/>
      </c>
      <c r="I44" s="39" t="n"/>
    </row>
    <row r="45">
      <c r="A45" s="38" t="n"/>
      <c r="B45" s="38" t="n"/>
      <c r="C45" s="39">
        <f>IF(AND(A45&lt;&gt;"",B45&lt;&gt;""),B45-A45,"")</f>
        <v/>
      </c>
      <c r="D45" s="39" t="n"/>
      <c r="E45" s="39" t="n"/>
      <c r="F45" s="40" t="n"/>
      <c r="G45" s="40" t="n"/>
      <c r="H45" s="40">
        <f>IF(AND(F45&lt;&gt;"",G45&lt;&gt;""),F45-G45,"")</f>
        <v/>
      </c>
      <c r="I45" s="39" t="n"/>
    </row>
    <row r="46">
      <c r="A46" s="38" t="n"/>
      <c r="B46" s="38" t="n"/>
      <c r="C46" s="39">
        <f>IF(AND(A46&lt;&gt;"",B46&lt;&gt;""),B46-A46,"")</f>
        <v/>
      </c>
      <c r="D46" s="39" t="n"/>
      <c r="E46" s="39" t="n"/>
      <c r="F46" s="40" t="n"/>
      <c r="G46" s="40" t="n"/>
      <c r="H46" s="40">
        <f>IF(AND(F46&lt;&gt;"",G46&lt;&gt;""),F46-G46,"")</f>
        <v/>
      </c>
      <c r="I46" s="39" t="n"/>
    </row>
    <row r="47">
      <c r="A47" s="38" t="n"/>
      <c r="B47" s="38" t="n"/>
      <c r="C47" s="39">
        <f>IF(AND(A47&lt;&gt;"",B47&lt;&gt;""),B47-A47,"")</f>
        <v/>
      </c>
      <c r="D47" s="39" t="n"/>
      <c r="E47" s="39" t="n"/>
      <c r="F47" s="40" t="n"/>
      <c r="G47" s="40" t="n"/>
      <c r="H47" s="40">
        <f>IF(AND(F47&lt;&gt;"",G47&lt;&gt;""),F47-G47,"")</f>
        <v/>
      </c>
      <c r="I47" s="39" t="n"/>
    </row>
    <row r="48">
      <c r="A48" s="38" t="n"/>
      <c r="B48" s="38" t="n"/>
      <c r="C48" s="39">
        <f>IF(AND(A48&lt;&gt;"",B48&lt;&gt;""),B48-A48,"")</f>
        <v/>
      </c>
      <c r="D48" s="39" t="n"/>
      <c r="E48" s="39" t="n"/>
      <c r="F48" s="40" t="n"/>
      <c r="G48" s="40" t="n"/>
      <c r="H48" s="40">
        <f>IF(AND(F48&lt;&gt;"",G48&lt;&gt;""),F48-G48,"")</f>
        <v/>
      </c>
      <c r="I48" s="39" t="n"/>
    </row>
    <row r="49">
      <c r="A49" s="38" t="n"/>
      <c r="B49" s="38" t="n"/>
      <c r="C49" s="39">
        <f>IF(AND(A49&lt;&gt;"",B49&lt;&gt;""),B49-A49,"")</f>
        <v/>
      </c>
      <c r="D49" s="39" t="n"/>
      <c r="E49" s="39" t="n"/>
      <c r="F49" s="40" t="n"/>
      <c r="G49" s="40" t="n"/>
      <c r="H49" s="40">
        <f>IF(AND(F49&lt;&gt;"",G49&lt;&gt;""),F49-G49,"")</f>
        <v/>
      </c>
      <c r="I49" s="39" t="n"/>
    </row>
    <row r="50">
      <c r="A50" s="38" t="n"/>
      <c r="B50" s="38" t="n"/>
      <c r="C50" s="39">
        <f>IF(AND(A50&lt;&gt;"",B50&lt;&gt;""),B50-A50,"")</f>
        <v/>
      </c>
      <c r="D50" s="39" t="n"/>
      <c r="E50" s="39" t="n"/>
      <c r="F50" s="40" t="n"/>
      <c r="G50" s="40" t="n"/>
      <c r="H50" s="40">
        <f>IF(AND(F50&lt;&gt;"",G50&lt;&gt;""),F50-G50,"")</f>
        <v/>
      </c>
      <c r="I50" s="39" t="n"/>
    </row>
    <row r="51">
      <c r="A51" s="38" t="n"/>
      <c r="B51" s="38" t="n"/>
      <c r="C51" s="39">
        <f>IF(AND(A51&lt;&gt;"",B51&lt;&gt;""),B51-A51,"")</f>
        <v/>
      </c>
      <c r="D51" s="39" t="n"/>
      <c r="E51" s="39" t="n"/>
      <c r="F51" s="40" t="n"/>
      <c r="G51" s="40" t="n"/>
      <c r="H51" s="40">
        <f>IF(AND(F51&lt;&gt;"",G51&lt;&gt;""),F51-G51,"")</f>
        <v/>
      </c>
      <c r="I51" s="39" t="n"/>
    </row>
    <row r="52">
      <c r="A52" s="38" t="n"/>
      <c r="B52" s="38" t="n"/>
      <c r="C52" s="39">
        <f>IF(AND(A52&lt;&gt;"",B52&lt;&gt;""),B52-A52,"")</f>
        <v/>
      </c>
      <c r="D52" s="39" t="n"/>
      <c r="E52" s="39" t="n"/>
      <c r="F52" s="40" t="n"/>
      <c r="G52" s="40" t="n"/>
      <c r="H52" s="40">
        <f>IF(AND(F52&lt;&gt;"",G52&lt;&gt;""),F52-G52,"")</f>
        <v/>
      </c>
      <c r="I52" s="39" t="n"/>
    </row>
    <row r="53">
      <c r="A53" s="38" t="n"/>
      <c r="B53" s="38" t="n"/>
      <c r="C53" s="39">
        <f>IF(AND(A53&lt;&gt;"",B53&lt;&gt;""),B53-A53,"")</f>
        <v/>
      </c>
      <c r="D53" s="39" t="n"/>
      <c r="E53" s="39" t="n"/>
      <c r="F53" s="40" t="n"/>
      <c r="G53" s="40" t="n"/>
      <c r="H53" s="40">
        <f>IF(AND(F53&lt;&gt;"",G53&lt;&gt;""),F53-G53,"")</f>
        <v/>
      </c>
      <c r="I53" s="39" t="n"/>
    </row>
    <row r="55">
      <c r="A55" s="29" t="inlineStr">
        <is>
          <t>TOTALI</t>
        </is>
      </c>
      <c r="C55" s="29">
        <f>SUM(C4:C53)</f>
        <v/>
      </c>
      <c r="F55" s="30">
        <f>SUM(F4:F53)</f>
        <v/>
      </c>
      <c r="H55" s="30">
        <f>SUM(H4:H53)</f>
        <v/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2026-05-08T09:51:23Z</dcterms:created>
  <dcterms:modified xmlns:dcterms="http://purl.org/dc/terms/" xmlns:xsi="http://www.w3.org/2001/XMLSchema-instance" xsi:type="dcterms:W3CDTF">2026-05-08T09:51:23Z</dcterms:modified>
</cp:coreProperties>
</file>